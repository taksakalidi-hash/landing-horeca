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Guests" sheetId="3" state="visible" r:id="rId5"/>
    <sheet name="Food" sheetId="4" state="visible" r:id="rId6"/>
    <sheet name="Drinks" sheetId="5" state="visible" r:id="rId7"/>
    <sheet name="Shopping" sheetId="6" state="visible" r:id="rId8"/>
    <sheet name="Budget" sheetId="7" state="visible" r:id="rId9"/>
    <sheet name="Timeline" sheetId="8" state="visible" r:id="rId10"/>
    <sheet name="Checkli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<sst xmlns="http://schemas.openxmlformats.org/spreadsheetml/2006/main" count="504" uniqueCount="323">
  <si>
    <t xml:space="preserve">Holiday Hosting Planner</t>
  </si>
  <si>
    <t xml:space="preserve">Guest count in → food, drinks, shopping list, budget and cooking schedule out.</t>
  </si>
  <si>
    <t xml:space="preserve">Your party at a glance</t>
  </si>
  <si>
    <t xml:space="preserve">Event</t>
  </si>
  <si>
    <t xml:space="preserve">Estimated shopping</t>
  </si>
  <si>
    <t xml:space="preserve">Date</t>
  </si>
  <si>
    <t xml:space="preserve">Budget left</t>
  </si>
  <si>
    <t xml:space="preserve">Dinner is served</t>
  </si>
  <si>
    <t xml:space="preserve">Turkey goes in the oven</t>
  </si>
  <si>
    <t xml:space="preserve">Guests</t>
  </si>
  <si>
    <t xml:space="preserve">Start thawing turkey</t>
  </si>
  <si>
    <t xml:space="preserve">Food to buy</t>
  </si>
  <si>
    <t xml:space="preserve">Checklist</t>
  </si>
  <si>
    <t xml:space="preserve">How to use it (3 steps)</t>
  </si>
  <si>
    <t xml:space="preserve">1.  Setup tab — type your date, dinner time and number of guests (gold cells).</t>
  </si>
  <si>
    <t xml:space="preserve">2.  Food tab — set Include? to Yes for the dishes on your menu. Quantities appear instantly.</t>
  </si>
  <si>
    <t xml:space="preserve">3.  Shopping tab — add your store's prices, then tick items off as you buy them. Budget, Timeline and Checklist update by themselves.</t>
  </si>
  <si>
    <t xml:space="preserve">Colour guide</t>
  </si>
  <si>
    <t xml:space="preserve">Gold cell</t>
  </si>
  <si>
    <t xml:space="preserve">Type or pick here</t>
  </si>
  <si>
    <t xml:space="preserve">White cell</t>
  </si>
  <si>
    <t xml:space="preserve">Calculated for you — no need to touch</t>
  </si>
  <si>
    <t xml:space="preserve">What's inside</t>
  </si>
  <si>
    <t xml:space="preserve">Setup</t>
  </si>
  <si>
    <t xml:space="preserve">Date, time, guests, appetite, leftovers, units, budget</t>
  </si>
  <si>
    <t xml:space="preserve">RSVPs, diets, allergies, who brings what, seating</t>
  </si>
  <si>
    <t xml:space="preserve">Food</t>
  </si>
  <si>
    <t xml:space="preserve">25 holiday dishes + your own, per-person portions → exact kg / lb</t>
  </si>
  <si>
    <t xml:space="preserve">Drinks</t>
  </si>
  <si>
    <t xml:space="preserve">Wine, beer, spirits, soft drinks, water, ice</t>
  </si>
  <si>
    <t xml:space="preserve">Shopping</t>
  </si>
  <si>
    <t xml:space="preserve">Auto-filled list with prices and a bought ✓</t>
  </si>
  <si>
    <t xml:space="preserve">Budget</t>
  </si>
  <si>
    <t xml:space="preserve">Planned vs. actual, cost per guest</t>
  </si>
  <si>
    <t xml:space="preserve">Timeline</t>
  </si>
  <si>
    <t xml:space="preserve">When to start each dish + turkey thaw date</t>
  </si>
  <si>
    <t xml:space="preserve">3 weeks out → party day, tick as you go</t>
  </si>
  <si>
    <t xml:space="preserve">Works in Microsoft Excel and Google Sheets (File → Import, or upload to Google Drive and open with Google Sheets). Portions are rules of thumb — trust your crowd.</t>
  </si>
  <si>
    <t xml:space="preserve">Fill in the gold cells. Everything else in the planner updates automatically.</t>
  </si>
  <si>
    <t xml:space="preserve">Your event</t>
  </si>
  <si>
    <t xml:space="preserve">Event name</t>
  </si>
  <si>
    <t xml:space="preserve">Thanksgiving Dinner</t>
  </si>
  <si>
    <t xml:space="preserve">Any name — shows on the Start Here page.</t>
  </si>
  <si>
    <t xml:space="preserve">Event date</t>
  </si>
  <si>
    <t xml:space="preserve">Used for the turkey-thawing and shopping reminders.</t>
  </si>
  <si>
    <t xml:space="preserve">Dinner is served at</t>
  </si>
  <si>
    <t xml:space="preserve">The cooking timeline counts backwards from this time.</t>
  </si>
  <si>
    <t xml:space="preserve">Party length (hours)</t>
  </si>
  <si>
    <t xml:space="preserve">Drives the drinks calculation.</t>
  </si>
  <si>
    <t xml:space="preserve">Guest count from</t>
  </si>
  <si>
    <t xml:space="preserve">Manual</t>
  </si>
  <si>
    <t xml:space="preserve">Manual = use the two numbers below. Guest List = count confirmed (RSVP Yes) guests on the Guests tab.</t>
  </si>
  <si>
    <t xml:space="preserve">Adults (manual)</t>
  </si>
  <si>
    <t xml:space="preserve">Teens 12+ count as adults.</t>
  </si>
  <si>
    <t xml:space="preserve">Kids under 12 (manual)</t>
  </si>
  <si>
    <t xml:space="preserve">Kids eat about half an adult portion (editable below).</t>
  </si>
  <si>
    <t xml:space="preserve">Appetite of the crowd</t>
  </si>
  <si>
    <t xml:space="preserve">Normal</t>
  </si>
  <si>
    <t xml:space="preserve">Light = -15%, Normal, Hearty = +20% food.</t>
  </si>
  <si>
    <t xml:space="preserve">Want leftovers?</t>
  </si>
  <si>
    <t xml:space="preserve">Yes</t>
  </si>
  <si>
    <t xml:space="preserve">Yes adds 25% to all food so everyone takes a plate home.</t>
  </si>
  <si>
    <t xml:space="preserve">Units for shopping</t>
  </si>
  <si>
    <t xml:space="preserve">Imperial (lb)</t>
  </si>
  <si>
    <t xml:space="preserve">Imperial (lb, qt) or Metric (kg, L). Both are always shown on the Food tab.</t>
  </si>
  <si>
    <t xml:space="preserve">Share of adults who drink alcohol</t>
  </si>
  <si>
    <t xml:space="preserve">Non-drinkers and kids get extra soft drinks instead.</t>
  </si>
  <si>
    <t xml:space="preserve">Total budget</t>
  </si>
  <si>
    <t xml:space="preserve">In your own currency. Tracked on the Budget tab.</t>
  </si>
  <si>
    <t xml:space="preserve">Portion assumptions (change only if you want to)</t>
  </si>
  <si>
    <t xml:space="preserve">Kid portion vs. adult</t>
  </si>
  <si>
    <t xml:space="preserve">Common catering rule of thumb: a child under 12 eats about half an adult portion.</t>
  </si>
  <si>
    <t xml:space="preserve">Extra food for leftovers</t>
  </si>
  <si>
    <t xml:space="preserve">Applied only when 'Want leftovers?' is Yes.</t>
  </si>
  <si>
    <t xml:space="preserve">Light appetite adjustment</t>
  </si>
  <si>
    <t xml:space="preserve">Multiplier on every portion.</t>
  </si>
  <si>
    <t xml:space="preserve">Hearty appetite adjustment</t>
  </si>
  <si>
    <t xml:space="preserve">Calculated (do not edit)</t>
  </si>
  <si>
    <t xml:space="preserve">Adults used</t>
  </si>
  <si>
    <t xml:space="preserve">Kids used</t>
  </si>
  <si>
    <t xml:space="preserve">Total guests</t>
  </si>
  <si>
    <t xml:space="preserve">Appetite multiplier</t>
  </si>
  <si>
    <t xml:space="preserve">Leftover multiplier</t>
  </si>
  <si>
    <t xml:space="preserve">Portion factor (adult portions to cook)</t>
  </si>
  <si>
    <t xml:space="preserve">Metric units? (1 = yes)</t>
  </si>
  <si>
    <t xml:space="preserve">Guest List</t>
  </si>
  <si>
    <t xml:space="preserve">Track RSVPs, diets and allergies. Set Setup → 'Guest count from' to Guest List to use these numbers.</t>
  </si>
  <si>
    <t xml:space="preserve">Waiting for reply</t>
  </si>
  <si>
    <t xml:space="preserve">Summary</t>
  </si>
  <si>
    <t xml:space="preserve">Special diets</t>
  </si>
  <si>
    <t xml:space="preserve">Confirmed adults</t>
  </si>
  <si>
    <t xml:space="preserve">Not coming</t>
  </si>
  <si>
    <t xml:space="preserve">Confirmed kids</t>
  </si>
  <si>
    <t xml:space="preserve">#</t>
  </si>
  <si>
    <t xml:space="preserve">Name</t>
  </si>
  <si>
    <t xml:space="preserve">Adult / Kid</t>
  </si>
  <si>
    <t xml:space="preserve">RSVP</t>
  </si>
  <si>
    <t xml:space="preserve">Diet</t>
  </si>
  <si>
    <t xml:space="preserve">Allergies / notes</t>
  </si>
  <si>
    <t xml:space="preserve">Bringing</t>
  </si>
  <si>
    <t xml:space="preserve">Table / seat</t>
  </si>
  <si>
    <t xml:space="preserve">Anna (host)</t>
  </si>
  <si>
    <t xml:space="preserve">Adult</t>
  </si>
  <si>
    <t xml:space="preserve">None</t>
  </si>
  <si>
    <t xml:space="preserve">Turkey</t>
  </si>
  <si>
    <t xml:space="preserve">Head</t>
  </si>
  <si>
    <t xml:space="preserve">Mark</t>
  </si>
  <si>
    <t xml:space="preserve">Vegetarian</t>
  </si>
  <si>
    <t xml:space="preserve">Allergic to walnuts</t>
  </si>
  <si>
    <t xml:space="preserve">Wine</t>
  </si>
  <si>
    <t xml:space="preserve">T1</t>
  </si>
  <si>
    <t xml:space="preserve">Lily</t>
  </si>
  <si>
    <t xml:space="preserve">Kid</t>
  </si>
  <si>
    <t xml:space="preserve">Maybe</t>
  </si>
  <si>
    <t xml:space="preserve">Kids' table</t>
  </si>
  <si>
    <t xml:space="preserve">Food Calculator</t>
  </si>
  <si>
    <t xml:space="preserve">Portions per ADULT for a sit-down holiday dinner with several dishes. Kids, appetite and leftovers are applied automatically.</t>
  </si>
  <si>
    <t xml:space="preserve">Cooking for</t>
  </si>
  <si>
    <t xml:space="preserve">Course</t>
  </si>
  <si>
    <t xml:space="preserve">Item</t>
  </si>
  <si>
    <t xml:space="preserve">Include?</t>
  </si>
  <si>
    <t xml:space="preserve">Per adult</t>
  </si>
  <si>
    <t xml:space="preserve">Unit</t>
  </si>
  <si>
    <t xml:space="preserve">Total needed</t>
  </si>
  <si>
    <t xml:space="preserve">Metric</t>
  </si>
  <si>
    <t xml:space="preserve">Imperial</t>
  </si>
  <si>
    <t xml:space="preserve">Tip</t>
  </si>
  <si>
    <t xml:space="preserve">Main</t>
  </si>
  <si>
    <t xml:space="preserve">Whole turkey (bone-in, raw weight)</t>
  </si>
  <si>
    <t xml:space="preserve">g</t>
  </si>
  <si>
    <t xml:space="preserve">About 1¼ lb per person bone-in. Cook to 165°F / 74°C.</t>
  </si>
  <si>
    <t xml:space="preserve">Ham (bone-in)</t>
  </si>
  <si>
    <t xml:space="preserve">No</t>
  </si>
  <si>
    <t xml:space="preserve">Use 150 g if also serving turkey.</t>
  </si>
  <si>
    <t xml:space="preserve">Roast beef / prime rib (boneless)</t>
  </si>
  <si>
    <t xml:space="preserve">Raw weight; shrinks ~25% when cooked.</t>
  </si>
  <si>
    <t xml:space="preserve">Whole chicken (raw)</t>
  </si>
  <si>
    <t xml:space="preserve">Salmon / fish fillet</t>
  </si>
  <si>
    <t xml:space="preserve">Vegetarian main (e.g. nut roast)</t>
  </si>
  <si>
    <t xml:space="preserve">Tip: set per adult so it covers only veggie guests.</t>
  </si>
  <si>
    <t xml:space="preserve">Side</t>
  </si>
  <si>
    <t xml:space="preserve">Potatoes (mashed or roasted, raw)</t>
  </si>
  <si>
    <t xml:space="preserve">Most popular side — people take seconds.</t>
  </si>
  <si>
    <t xml:space="preserve">Stuffing / dressing (bread cubes)</t>
  </si>
  <si>
    <t xml:space="preserve">Dry bread weight; ~1 cup prepared per person.</t>
  </si>
  <si>
    <t xml:space="preserve">Vegetable side #1 (green beans)</t>
  </si>
  <si>
    <t xml:space="preserve">Vegetable side #2 (Brussels sprouts / carrots)</t>
  </si>
  <si>
    <t xml:space="preserve">Sweet potatoes</t>
  </si>
  <si>
    <t xml:space="preserve">Mac &amp; cheese (dry pasta)</t>
  </si>
  <si>
    <t xml:space="preserve">Salad greens</t>
  </si>
  <si>
    <t xml:space="preserve">Gravy</t>
  </si>
  <si>
    <t xml:space="preserve">ml</t>
  </si>
  <si>
    <t xml:space="preserve">About ⅓ cup per person.</t>
  </si>
  <si>
    <t xml:space="preserve">Cranberry sauce</t>
  </si>
  <si>
    <t xml:space="preserve">Dinner rolls</t>
  </si>
  <si>
    <t xml:space="preserve">rolls</t>
  </si>
  <si>
    <t xml:space="preserve">Starter</t>
  </si>
  <si>
    <t xml:space="preserve">Cheese (for board)</t>
  </si>
  <si>
    <t xml:space="preserve">Use 100 g if the board IS the meal.</t>
  </si>
  <si>
    <t xml:space="preserve">Cured meats</t>
  </si>
  <si>
    <t xml:space="preserve">Crackers / baguette</t>
  </si>
  <si>
    <t xml:space="preserve">Dips + veggie sticks</t>
  </si>
  <si>
    <t xml:space="preserve">Nuts / olives / snacks</t>
  </si>
  <si>
    <t xml:space="preserve">Dessert</t>
  </si>
  <si>
    <t xml:space="preserve">Pies (8 slices each)</t>
  </si>
  <si>
    <t xml:space="preserve">pies</t>
  </si>
  <si>
    <t xml:space="preserve">1¼ slices per person — someone always wants a second piece.</t>
  </si>
  <si>
    <t xml:space="preserve">Cake (12 slices)</t>
  </si>
  <si>
    <t xml:space="preserve">cakes</t>
  </si>
  <si>
    <t xml:space="preserve">Whipped cream / ice cream</t>
  </si>
  <si>
    <t xml:space="preserve">Coffee (ground)</t>
  </si>
  <si>
    <t xml:space="preserve">About 1 cup per adult.</t>
  </si>
  <si>
    <t xml:space="preserve">Custom</t>
  </si>
  <si>
    <t xml:space="preserve">Add your own dish: name, per adult, unit (g / ml / any word for pieces).</t>
  </si>
  <si>
    <t xml:space="preserve">Total food to buy (by weight)</t>
  </si>
  <si>
    <t xml:space="preserve">kg</t>
  </si>
  <si>
    <t xml:space="preserve">lb</t>
  </si>
  <si>
    <t xml:space="preserve">Portion sizes are standard catering rules of thumb for a multi-dish holiday meal. Adjust 'Per adult' to match your crowd.</t>
  </si>
  <si>
    <t xml:space="preserve">Drinks Calculator</t>
  </si>
  <si>
    <t xml:space="preserve">Based on the classic host rule: 2 drinks in the first hour, then 1 drink per hour per guest.</t>
  </si>
  <si>
    <t xml:space="preserve">Assumptions (gold = editable)</t>
  </si>
  <si>
    <t xml:space="preserve">Drinks per drinker — first hour</t>
  </si>
  <si>
    <t xml:space="preserve">The classic party rule of thumb.</t>
  </si>
  <si>
    <t xml:space="preserve">Drinks per drinker — each extra hour</t>
  </si>
  <si>
    <t xml:space="preserve">Share of drinks that are wine</t>
  </si>
  <si>
    <t xml:space="preserve">Wine + beer + cocktails should add up to 100%.</t>
  </si>
  <si>
    <t xml:space="preserve">Share that is beer / cider</t>
  </si>
  <si>
    <t xml:space="preserve">Share that is cocktails / spirits</t>
  </si>
  <si>
    <t xml:space="preserve">Glasses per bottle of wine (750 ml)</t>
  </si>
  <si>
    <t xml:space="preserve">5 glasses of 150 ml / 5 oz.</t>
  </si>
  <si>
    <t xml:space="preserve">Drinks per bottle of spirits (750 ml)</t>
  </si>
  <si>
    <t xml:space="preserve">About 1.5 oz / 45 ml per drink.</t>
  </si>
  <si>
    <t xml:space="preserve">Mixer per cocktail (L)</t>
  </si>
  <si>
    <t xml:space="preserve">About 5 oz.</t>
  </si>
  <si>
    <t xml:space="preserve">Soft drink serving (L)</t>
  </si>
  <si>
    <t xml:space="preserve">About 8 oz glass.</t>
  </si>
  <si>
    <t xml:space="preserve">Water per guest (L)</t>
  </si>
  <si>
    <t xml:space="preserve">Still + sparkling for the table.</t>
  </si>
  <si>
    <t xml:space="preserve">Ice per guest (kg)</t>
  </si>
  <si>
    <t xml:space="preserve">About 1 lb per guest. Double it on a hot day.</t>
  </si>
  <si>
    <t xml:space="preserve">Check: shares add up to</t>
  </si>
  <si>
    <t xml:space="preserve">What to buy</t>
  </si>
  <si>
    <t xml:space="preserve">How it's calculated</t>
  </si>
  <si>
    <t xml:space="preserve">Alcoholic drinks in total</t>
  </si>
  <si>
    <t xml:space="preserve">drinks</t>
  </si>
  <si>
    <t xml:space="preserve">Adults who drink × drinks per hour × hours.</t>
  </si>
  <si>
    <t xml:space="preserve">bottles</t>
  </si>
  <si>
    <t xml:space="preserve">750 ml bottles.</t>
  </si>
  <si>
    <t xml:space="preserve">Beer / cider</t>
  </si>
  <si>
    <t xml:space="preserve">330 ml / 12 oz bottles or cans.</t>
  </si>
  <si>
    <t xml:space="preserve">Spirits for cocktails</t>
  </si>
  <si>
    <t xml:space="preserve">Mixers (tonic, soda, juice)</t>
  </si>
  <si>
    <t xml:space="preserve">L</t>
  </si>
  <si>
    <t xml:space="preserve">qt</t>
  </si>
  <si>
    <t xml:space="preserve">Soft drinks &amp; juice</t>
  </si>
  <si>
    <t xml:space="preserve">Kids + non-drinkers drink at the same pace; drinkers get one glass too.</t>
  </si>
  <si>
    <t xml:space="preserve">  → in 2-liter bottles</t>
  </si>
  <si>
    <t xml:space="preserve">Water</t>
  </si>
  <si>
    <t xml:space="preserve">Ice</t>
  </si>
  <si>
    <t xml:space="preserve">Shopping List</t>
  </si>
  <si>
    <t xml:space="preserve">Quantities fill in automatically. Add your store's prices to see the cost. Tick items as you buy them.</t>
  </si>
  <si>
    <t xml:space="preserve">Units</t>
  </si>
  <si>
    <t xml:space="preserve">Still to buy</t>
  </si>
  <si>
    <t xml:space="preserve">Est. total</t>
  </si>
  <si>
    <t xml:space="preserve">Bought</t>
  </si>
  <si>
    <t xml:space="preserve">Category</t>
  </si>
  <si>
    <t xml:space="preserve">Qty</t>
  </si>
  <si>
    <t xml:space="preserve">Price / unit</t>
  </si>
  <si>
    <t xml:space="preserve">Est. cost</t>
  </si>
  <si>
    <t xml:space="preserve">Bought?</t>
  </si>
  <si>
    <t xml:space="preserve">Soft drinks &amp; juice (2-liter bottles)</t>
  </si>
  <si>
    <t xml:space="preserve">Other</t>
  </si>
  <si>
    <t xml:space="preserve">Butter</t>
  </si>
  <si>
    <t xml:space="preserve">Heavy cream</t>
  </si>
  <si>
    <t xml:space="preserve">Napkins</t>
  </si>
  <si>
    <t xml:space="preserve">pack</t>
  </si>
  <si>
    <t xml:space="preserve">Example prices are typical US grocery prices (2026) per unit shown — replace them with your own store's prices. Grey rows = not needed.</t>
  </si>
  <si>
    <t xml:space="preserve">Planned costs come from the Shopping List. Type what you actually spent in the gold column.</t>
  </si>
  <si>
    <t xml:space="preserve">Planned</t>
  </si>
  <si>
    <t xml:space="preserve">Actual</t>
  </si>
  <si>
    <t xml:space="preserve">Difference</t>
  </si>
  <si>
    <t xml:space="preserve">Notes</t>
  </si>
  <si>
    <t xml:space="preserve">From Shopping List</t>
  </si>
  <si>
    <t xml:space="preserve">Other groceries</t>
  </si>
  <si>
    <t xml:space="preserve">Decor &amp; flowers</t>
  </si>
  <si>
    <t xml:space="preserve">Tableware &amp; linens</t>
  </si>
  <si>
    <t xml:space="preserve">Gifts / party favors</t>
  </si>
  <si>
    <t xml:space="preserve">Miscellaneous</t>
  </si>
  <si>
    <t xml:space="preserve">TOTAL</t>
  </si>
  <si>
    <t xml:space="preserve">Your budget</t>
  </si>
  <si>
    <t xml:space="preserve">Planned spend</t>
  </si>
  <si>
    <t xml:space="preserve">Left over (planned)</t>
  </si>
  <si>
    <t xml:space="preserve">Cost per guest (planned)</t>
  </si>
  <si>
    <t xml:space="preserve">Actual spend so far</t>
  </si>
  <si>
    <t xml:space="preserve">Cooking Timeline</t>
  </si>
  <si>
    <t xml:space="preserve">Counts backwards from the time dinner is served. Turkey time is calculated from its weight.</t>
  </si>
  <si>
    <t xml:space="preserve">Turkey weight (lb)</t>
  </si>
  <si>
    <t xml:space="preserve">Dish</t>
  </si>
  <si>
    <t xml:space="preserve">Where</t>
  </si>
  <si>
    <t xml:space="preserve">Prep (min)</t>
  </si>
  <si>
    <t xml:space="preserve">Cook (min)</t>
  </si>
  <si>
    <t xml:space="preserve">Rest / hold (min)</t>
  </si>
  <si>
    <t xml:space="preserve">Start prep</t>
  </si>
  <si>
    <t xml:space="preserve">Start cooking</t>
  </si>
  <si>
    <t xml:space="preserve">Done cooking</t>
  </si>
  <si>
    <t xml:space="preserve">Oven</t>
  </si>
  <si>
    <t xml:space="preserve">~15 min per lb at 325°F / 165°C (unstuffed). Check 165°F / 74°C in the thigh.</t>
  </si>
  <si>
    <t xml:space="preserve">Stuffing / dressing</t>
  </si>
  <si>
    <t xml:space="preserve">Bake while the turkey rests.</t>
  </si>
  <si>
    <t xml:space="preserve">Sweet potatoes / casserole</t>
  </si>
  <si>
    <t xml:space="preserve">Roasted vegetables</t>
  </si>
  <si>
    <t xml:space="preserve">Mashed potatoes</t>
  </si>
  <si>
    <t xml:space="preserve">Stove</t>
  </si>
  <si>
    <t xml:space="preserve">Keep warm in a slow cooker.</t>
  </si>
  <si>
    <t xml:space="preserve">Green beans</t>
  </si>
  <si>
    <t xml:space="preserve">Use the turkey drippings.</t>
  </si>
  <si>
    <t xml:space="preserve">Warm up when the turkey comes out.</t>
  </si>
  <si>
    <t xml:space="preserve">Appetizer board</t>
  </si>
  <si>
    <t xml:space="preserve">Counter</t>
  </si>
  <si>
    <t xml:space="preserve">Ready when guests arrive (90 min before dinner).</t>
  </si>
  <si>
    <t xml:space="preserve">Pies</t>
  </si>
  <si>
    <t xml:space="preserve">Bake in the morning or the day before.</t>
  </si>
  <si>
    <t xml:space="preserve">Key dates</t>
  </si>
  <si>
    <t xml:space="preserve">Move turkey to the fridge to thaw</t>
  </si>
  <si>
    <t xml:space="preserve">1 day in the fridge for every 4 lb (USDA guideline).</t>
  </si>
  <si>
    <t xml:space="preserve">Big shopping trip</t>
  </si>
  <si>
    <t xml:space="preserve">Buy fresh produce 1–2 days before.</t>
  </si>
  <si>
    <t xml:space="preserve">Bake pies, make cranberry sauce</t>
  </si>
  <si>
    <t xml:space="preserve">Party day</t>
  </si>
  <si>
    <t xml:space="preserve">Host Checklist</t>
  </si>
  <si>
    <t xml:space="preserve">Pick a ✓ in the Done column as you go.</t>
  </si>
  <si>
    <t xml:space="preserve">When</t>
  </si>
  <si>
    <t xml:space="preserve">Task</t>
  </si>
  <si>
    <t xml:space="preserve">Done</t>
  </si>
  <si>
    <t xml:space="preserve">3 weeks before</t>
  </si>
  <si>
    <t xml:space="preserve">Set the date and time, send invitations</t>
  </si>
  <si>
    <t xml:space="preserve">Ask about diets and allergies (Guests tab)</t>
  </si>
  <si>
    <t xml:space="preserve">Decide the menu (Food tab: Include? = Yes)</t>
  </si>
  <si>
    <t xml:space="preserve">Order the turkey if buying fresh / heritage</t>
  </si>
  <si>
    <t xml:space="preserve">2 weeks before</t>
  </si>
  <si>
    <t xml:space="preserve">Check you have enough chairs, plates, glasses, cutlery</t>
  </si>
  <si>
    <t xml:space="preserve">Plan the cooking timeline — does everything fit in the oven?</t>
  </si>
  <si>
    <t xml:space="preserve">Buy drinks and non-perishables</t>
  </si>
  <si>
    <t xml:space="preserve">1 week before</t>
  </si>
  <si>
    <t xml:space="preserve">Confirm RSVPs and update guest count</t>
  </si>
  <si>
    <t xml:space="preserve">Plan seating and table layout</t>
  </si>
  <si>
    <t xml:space="preserve">Clean out the fridge to make room</t>
  </si>
  <si>
    <t xml:space="preserve">3–4 days before</t>
  </si>
  <si>
    <t xml:space="preserve">Start thawing a frozen turkey (see Key dates)</t>
  </si>
  <si>
    <t xml:space="preserve">Big shopping trip (Shopping tab)</t>
  </si>
  <si>
    <t xml:space="preserve">Iron tablecloth and napkins</t>
  </si>
  <si>
    <t xml:space="preserve">Day before</t>
  </si>
  <si>
    <t xml:space="preserve">Bake pies and make cranberry sauce</t>
  </si>
  <si>
    <t xml:space="preserve">Chop vegetables, make stuffing base</t>
  </si>
  <si>
    <t xml:space="preserve">Set the table</t>
  </si>
  <si>
    <t xml:space="preserve">Chill drinks, buy ice</t>
  </si>
  <si>
    <t xml:space="preserve">Follow the Cooking Timeline</t>
  </si>
  <si>
    <t xml:space="preserve">Set up appetizers and drinks station</t>
  </si>
  <si>
    <t xml:space="preserve">Light candles, put on music</t>
  </si>
  <si>
    <t xml:space="preserve">Enjoy your guests!</t>
  </si>
  <si>
    <t xml:space="preserve">After</t>
  </si>
  <si>
    <t xml:space="preserve">Pack leftovers for guests</t>
  </si>
  <si>
    <t xml:space="preserve">Note what ran out / was left for next year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</si>
</sst>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ddd&quot;, &quot;mmm\ d&quot;, &quot;yyyy"/>
    <numFmt numFmtId="167" formatCode="h:mm\ AM/PM"/>
    <numFmt numFmtId="168" formatCode="0"/>
    <numFmt numFmtId="169" formatCode="0%"/>
    <numFmt numFmtId="170" formatCode="0.00"/>
    <numFmt numFmtId="171" formatCode="0.0"/>
    <numFmt numFmtId="172" formatCode="#,##0;\-#,##0;\–"/>
    <numFmt numFmtId="173" formatCode="#,##0.0;\-#,##0.0;\–"/>
    <numFmt numFmtId="174" formatCode="#,##0.00;\-#,##0.00;\–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20"/>
      <color rgb="FFFFFFFF"/>
      <name val="Georgia"/>
      <family val="0"/>
      <charset val="1"/>
    </font>
    <font>
      <i val="true"/>
      <sz val="10"/>
      <color rgb="FF9B2335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9B2335"/>
      <name val="Arial"/>
      <family val="0"/>
      <charset val="1"/>
    </font>
    <font>
      <sz val="10"/>
      <color rgb="FF1F3A93"/>
      <name val="Arial"/>
      <family val="0"/>
      <charset val="1"/>
    </font>
    <font>
      <sz val="10"/>
      <color rgb="FF8C8C8C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F4E3D"/>
      <name val="Arial"/>
      <family val="0"/>
      <charset val="1"/>
    </font>
    <font>
      <i val="true"/>
      <sz val="9"/>
      <color rgb="FF8C8C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3D"/>
      <name val="Arial"/>
      <family val="0"/>
      <charset val="1"/>
    </font>
    <font>
      <sz val="10"/>
      <color rgb="FF9B233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BF7EF"/>
        <bgColor rgb="FFFFFFFF"/>
      </patternFill>
    </fill>
    <fill>
      <patternFill patternType="solid">
        <fgColor rgb="FF1F4E3D"/>
        <bgColor rgb="FF333300"/>
      </patternFill>
    </fill>
    <fill>
      <patternFill patternType="solid">
        <fgColor rgb="FFFFFFFF"/>
        <bgColor rgb="FFFBF7EF"/>
      </patternFill>
    </fill>
    <fill>
      <patternFill patternType="solid">
        <fgColor rgb="FFFFF2CC"/>
        <bgColor rgb="FFFBF0D9"/>
      </patternFill>
    </fill>
    <fill>
      <patternFill patternType="solid">
        <fgColor rgb="FF9B2335"/>
        <bgColor rgb="FF993366"/>
      </patternFill>
    </fill>
    <fill>
      <patternFill patternType="solid">
        <fgColor rgb="FFF4E3E6"/>
        <bgColor rgb="FFEFE7F4"/>
      </patternFill>
    </fill>
    <fill>
      <patternFill patternType="solid">
        <fgColor rgb="FFE7F0EA"/>
        <bgColor rgb="FFF3EDE0"/>
      </patternFill>
    </fill>
    <fill>
      <patternFill patternType="solid">
        <fgColor rgb="FFFBF0D9"/>
        <bgColor rgb="FFFFF2CC"/>
      </patternFill>
    </fill>
    <fill>
      <patternFill patternType="solid">
        <fgColor rgb="FFEFE7F4"/>
        <bgColor rgb="FFF4E3E6"/>
      </patternFill>
    </fill>
    <fill>
      <patternFill patternType="solid">
        <fgColor rgb="FFF3EDE0"/>
        <bgColor rgb="FFFB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E3DCCB"/>
      </left>
      <right style="thin">
        <color rgb="FFE3DCCB"/>
      </right>
      <top style="thin">
        <color rgb="FFE3DCCB"/>
      </top>
      <bottom style="thin">
        <color rgb="FFE3DC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9EAD3"/>
        </patternFill>
      </fill>
    </dxf>
    <dxf>
      <fill>
        <patternFill>
          <bgColor rgb="FFF4CCCC"/>
        </patternFill>
      </fill>
    </dxf>
    <dxf>
      <font>
        <name val="Arial"/>
        <charset val="1"/>
        <family val="0"/>
        <color rgb="FFB7B7B7"/>
      </font>
    </dxf>
    <dxf>
      <font>
        <name val="Arial"/>
        <charset val="1"/>
        <family val="0"/>
        <b val="1"/>
        <color rgb="FF9B2335"/>
      </font>
      <fill>
        <patternFill>
          <bgColor rgb="FFF4CCCC"/>
        </patternFill>
      </fill>
    </dxf>
    <dxf>
      <font>
        <name val="Arial"/>
        <charset val="1"/>
        <family val="0"/>
        <strike val="1"/>
        <color rgb="FF6AA84F"/>
      </font>
      <fill>
        <patternFill>
          <bgColor rgb="FFD9EAD3"/>
        </patternFill>
      </fill>
    </dxf>
    <dxf>
      <font>
        <name val="Arial"/>
        <charset val="1"/>
        <family val="0"/>
        <color rgb="FFC8C8C8"/>
      </font>
    </dxf>
    <dxf>
      <font>
        <name val="Arial"/>
        <charset val="1"/>
        <family val="0"/>
        <b val="1"/>
        <color rgb="FF1F4E3D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9B2335"/>
      </font>
    </dxf>
  </dxfs>
  <colors>
    <indexedColors>
      <rgbColor rgb="FF000000"/>
      <rgbColor rgb="FFFFFFFF"/>
      <rgbColor rgb="FFFF0000"/>
      <rgbColor rgb="FF00FF00"/>
      <rgbColor rgb="FF0000FF"/>
      <rgbColor rgb="FFFBF7E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B2335"/>
      <rgbColor rgb="FFFFF2CC"/>
      <rgbColor rgb="FFE7F0EA"/>
      <rgbColor rgb="FF660066"/>
      <rgbColor rgb="FFFF8080"/>
      <rgbColor rgb="FF0066CC"/>
      <rgbColor rgb="FFE3DC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7F4"/>
      <rgbColor rgb="FFD9EAD3"/>
      <rgbColor rgb="FFFBF0D9"/>
      <rgbColor rgb="FFB7B7B7"/>
      <rgbColor rgb="FFF4E3E6"/>
      <rgbColor rgb="FFF3EDE0"/>
      <rgbColor rgb="FFF4CCCC"/>
      <rgbColor rgb="FF3366FF"/>
      <rgbColor rgb="FF33CCCC"/>
      <rgbColor rgb="FF99CC00"/>
      <rgbColor rgb="FFFFCC00"/>
      <rgbColor rgb="FFC9A227"/>
      <rgbColor rgb="FFFF6600"/>
      <rgbColor rgb="FF666699"/>
      <rgbColor rgb="FF8C8C8C"/>
      <rgbColor rgb="FF1F4E3D"/>
      <rgbColor rgb="FF6AA84F"/>
      <rgbColor rgb="FF003300"/>
      <rgbColor rgb="FF333300"/>
      <rgbColor rgb="FF993300"/>
      <rgbColor rgb="FF993366"/>
      <rgbColor rgb="FF1F3A93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O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4" t="s">
        <v>2</v>
      </c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</row>
    <row r="6" customFormat="false" ht="21.75" hidden="false" customHeight="true" outlineLevel="0" collapsed="false">
      <c r="A6" s="1"/>
      <c r="B6" s="5" t="s">
        <v>3</v>
      </c>
      <c r="C6" s="6" t="str">
        <f aca="false">Setup!$C$6</f>
        <v>Thanksgiving Dinner</v>
      </c>
      <c r="D6" s="1"/>
      <c r="E6" s="5" t="s">
        <v>4</v>
      </c>
      <c r="F6" s="7" t="n">
        <f aca="false">Shopping!$C$6</f>
        <v>308.393272102001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21.75" hidden="false" customHeight="true" outlineLevel="0" collapsed="false">
      <c r="A7" s="1"/>
      <c r="B7" s="5" t="s">
        <v>5</v>
      </c>
      <c r="C7" s="8" t="n">
        <f aca="false">Setup!$C$7</f>
        <v>46352</v>
      </c>
      <c r="D7" s="1"/>
      <c r="E7" s="5" t="s">
        <v>6</v>
      </c>
      <c r="F7" s="7" t="n">
        <f aca="false">Budget!$C$18</f>
        <v>196.606727897999</v>
      </c>
      <c r="G7" s="1"/>
      <c r="H7" s="1"/>
      <c r="I7" s="1"/>
      <c r="J7" s="1"/>
      <c r="K7" s="1"/>
      <c r="L7" s="1"/>
      <c r="M7" s="1"/>
      <c r="N7" s="1"/>
      <c r="O7" s="1"/>
    </row>
    <row r="8" customFormat="false" ht="21.75" hidden="false" customHeight="true" outlineLevel="0" collapsed="false">
      <c r="A8" s="1"/>
      <c r="B8" s="5" t="s">
        <v>7</v>
      </c>
      <c r="C8" s="9" t="n">
        <f aca="false">Setup!$C$8</f>
        <v>0.708333333333333</v>
      </c>
      <c r="D8" s="1"/>
      <c r="E8" s="5" t="s">
        <v>8</v>
      </c>
      <c r="F8" s="9" t="n">
        <f aca="false">IF(Food!$J$9=0,"—",Timeline!$H$9)</f>
        <v>0.506944444444444</v>
      </c>
      <c r="G8" s="1"/>
      <c r="H8" s="1"/>
      <c r="I8" s="1"/>
      <c r="J8" s="1"/>
      <c r="K8" s="1"/>
      <c r="L8" s="1"/>
      <c r="M8" s="1"/>
      <c r="N8" s="1"/>
      <c r="O8" s="1"/>
    </row>
    <row r="9" customFormat="false" ht="21.75" hidden="false" customHeight="true" outlineLevel="0" collapsed="false">
      <c r="A9" s="1"/>
      <c r="B9" s="5" t="s">
        <v>9</v>
      </c>
      <c r="C9" s="6" t="str">
        <f aca="false">Setup!$C$26&amp;" adults, "&amp;Setup!$C$27&amp;" kids"</f>
        <v>10 adults, 2 kids</v>
      </c>
      <c r="D9" s="1"/>
      <c r="E9" s="5" t="s">
        <v>10</v>
      </c>
      <c r="F9" s="8" t="n">
        <f aca="false">Timeline!$C$24</f>
        <v>46347</v>
      </c>
      <c r="G9" s="1"/>
      <c r="H9" s="1"/>
      <c r="I9" s="1"/>
      <c r="J9" s="1"/>
      <c r="K9" s="1"/>
      <c r="L9" s="1"/>
      <c r="M9" s="1"/>
      <c r="N9" s="1"/>
      <c r="O9" s="1"/>
    </row>
    <row r="10" customFormat="false" ht="21.75" hidden="false" customHeight="true" outlineLevel="0" collapsed="false">
      <c r="A10" s="1"/>
      <c r="B10" s="5" t="s">
        <v>11</v>
      </c>
      <c r="C10" s="6" t="str">
        <f aca="false">TEXT(Food!$H$39,"0.0")&amp;" kg  /  "&amp;TEXT(Food!$H$39*2.2046,"0.0")&amp;" lb"</f>
        <v>17.7 kg  /  39.1 lb</v>
      </c>
      <c r="D10" s="1"/>
      <c r="E10" s="5" t="s">
        <v>12</v>
      </c>
      <c r="F10" s="6" t="str">
        <f aca="false">Checklist!C4</f>
        <v>0 of 23 tasks done</v>
      </c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4" t="s">
        <v>13</v>
      </c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21.75" hidden="false" customHeight="true" outlineLevel="0" collapsed="false">
      <c r="A14" s="1"/>
      <c r="B14" s="10" t="s">
        <v>14</v>
      </c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21.75" hidden="false" customHeight="true" outlineLevel="0" collapsed="false">
      <c r="A15" s="1"/>
      <c r="B15" s="10" t="s">
        <v>15</v>
      </c>
      <c r="C15" s="10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21.75" hidden="false" customHeight="true" outlineLevel="0" collapsed="false">
      <c r="A16" s="1"/>
      <c r="B16" s="10" t="s">
        <v>16</v>
      </c>
      <c r="C16" s="10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4" t="s">
        <v>17</v>
      </c>
      <c r="C18" s="4"/>
      <c r="D18" s="4"/>
      <c r="E18" s="4"/>
      <c r="F18" s="4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11" t="s">
        <v>18</v>
      </c>
      <c r="C19" s="12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13" t="s">
        <v>20</v>
      </c>
      <c r="C20" s="12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4" t="s">
        <v>22</v>
      </c>
      <c r="C22" s="4"/>
      <c r="D22" s="4"/>
      <c r="E22" s="4"/>
      <c r="F22" s="4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14" t="s">
        <v>23</v>
      </c>
      <c r="C23" s="13" t="s">
        <v>24</v>
      </c>
      <c r="D23" s="13"/>
      <c r="E23" s="13"/>
      <c r="F23" s="13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14" t="s">
        <v>9</v>
      </c>
      <c r="C24" s="13" t="s">
        <v>25</v>
      </c>
      <c r="D24" s="13"/>
      <c r="E24" s="13"/>
      <c r="F24" s="13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14" t="s">
        <v>26</v>
      </c>
      <c r="C25" s="13" t="s">
        <v>27</v>
      </c>
      <c r="D25" s="13"/>
      <c r="E25" s="13"/>
      <c r="F25" s="13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14" t="s">
        <v>28</v>
      </c>
      <c r="C26" s="13" t="s">
        <v>29</v>
      </c>
      <c r="D26" s="13"/>
      <c r="E26" s="13"/>
      <c r="F26" s="13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14" t="s">
        <v>30</v>
      </c>
      <c r="C27" s="13" t="s">
        <v>31</v>
      </c>
      <c r="D27" s="13"/>
      <c r="E27" s="13"/>
      <c r="F27" s="13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14" t="s">
        <v>32</v>
      </c>
      <c r="C28" s="13" t="s">
        <v>33</v>
      </c>
      <c r="D28" s="13"/>
      <c r="E28" s="13"/>
      <c r="F28" s="13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4" t="s">
        <v>34</v>
      </c>
      <c r="C29" s="13" t="s">
        <v>35</v>
      </c>
      <c r="D29" s="13"/>
      <c r="E29" s="13"/>
      <c r="F29" s="13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4" t="s">
        <v>12</v>
      </c>
      <c r="C30" s="13" t="s">
        <v>36</v>
      </c>
      <c r="D30" s="13"/>
      <c r="E30" s="13"/>
      <c r="F30" s="13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true" outlineLevel="0" collapsed="false">
      <c r="A32" s="1"/>
      <c r="B32" s="15" t="s">
        <v>37</v>
      </c>
      <c r="C32" s="15"/>
      <c r="D32" s="15"/>
      <c r="E32" s="15"/>
      <c r="F32" s="15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5"/>
      <c r="C33" s="15"/>
      <c r="D33" s="15"/>
      <c r="E33" s="15"/>
      <c r="F33" s="15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18">
    <mergeCell ref="B2:F2"/>
    <mergeCell ref="B3:F3"/>
    <mergeCell ref="B5:F5"/>
    <mergeCell ref="B13:F13"/>
    <mergeCell ref="B14:F14"/>
    <mergeCell ref="B15:F15"/>
    <mergeCell ref="B16:F16"/>
    <mergeCell ref="B18:F18"/>
    <mergeCell ref="B22:F22"/>
    <mergeCell ref="C23:F23"/>
    <mergeCell ref="C24:F24"/>
    <mergeCell ref="C25:F25"/>
    <mergeCell ref="C26:F26"/>
    <mergeCell ref="C27:F27"/>
    <mergeCell ref="C28:F28"/>
    <mergeCell ref="C29:F29"/>
    <mergeCell ref="C30:F30"/>
    <mergeCell ref="B32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23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38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4" t="s">
        <v>39</v>
      </c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21.75" hidden="false" customHeight="true" outlineLevel="0" collapsed="false">
      <c r="A6" s="1"/>
      <c r="B6" s="5" t="s">
        <v>40</v>
      </c>
      <c r="C6" s="16" t="s">
        <v>41</v>
      </c>
      <c r="D6" s="17" t="s">
        <v>42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21.75" hidden="false" customHeight="true" outlineLevel="0" collapsed="false">
      <c r="A7" s="1"/>
      <c r="B7" s="5" t="s">
        <v>43</v>
      </c>
      <c r="C7" s="18" t="n">
        <v>46352</v>
      </c>
      <c r="D7" s="17" t="s">
        <v>44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21.75" hidden="false" customHeight="true" outlineLevel="0" collapsed="false">
      <c r="A8" s="1"/>
      <c r="B8" s="5" t="s">
        <v>45</v>
      </c>
      <c r="C8" s="19" t="n">
        <v>0.708333333333333</v>
      </c>
      <c r="D8" s="17" t="s">
        <v>46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21.75" hidden="false" customHeight="true" outlineLevel="0" collapsed="false">
      <c r="A9" s="1"/>
      <c r="B9" s="5" t="s">
        <v>47</v>
      </c>
      <c r="C9" s="20" t="n">
        <v>5</v>
      </c>
      <c r="D9" s="17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21.75" hidden="false" customHeight="true" outlineLevel="0" collapsed="false">
      <c r="A10" s="1"/>
      <c r="B10" s="5" t="s">
        <v>49</v>
      </c>
      <c r="C10" s="16" t="s">
        <v>50</v>
      </c>
      <c r="D10" s="17" t="s">
        <v>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21.75" hidden="false" customHeight="true" outlineLevel="0" collapsed="false">
      <c r="A11" s="1"/>
      <c r="B11" s="5" t="s">
        <v>52</v>
      </c>
      <c r="C11" s="20" t="n">
        <v>10</v>
      </c>
      <c r="D11" s="17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21.75" hidden="false" customHeight="true" outlineLevel="0" collapsed="false">
      <c r="A12" s="1"/>
      <c r="B12" s="5" t="s">
        <v>54</v>
      </c>
      <c r="C12" s="20" t="n">
        <v>2</v>
      </c>
      <c r="D12" s="17" t="s">
        <v>55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21.75" hidden="false" customHeight="true" outlineLevel="0" collapsed="false">
      <c r="A13" s="1"/>
      <c r="B13" s="5" t="s">
        <v>56</v>
      </c>
      <c r="C13" s="16" t="s">
        <v>57</v>
      </c>
      <c r="D13" s="17" t="s">
        <v>58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21.75" hidden="false" customHeight="true" outlineLevel="0" collapsed="false">
      <c r="A14" s="1"/>
      <c r="B14" s="5" t="s">
        <v>59</v>
      </c>
      <c r="C14" s="16" t="s">
        <v>60</v>
      </c>
      <c r="D14" s="17" t="s"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21.75" hidden="false" customHeight="true" outlineLevel="0" collapsed="false">
      <c r="A15" s="1"/>
      <c r="B15" s="5" t="s">
        <v>62</v>
      </c>
      <c r="C15" s="16" t="s">
        <v>63</v>
      </c>
      <c r="D15" s="17" t="s">
        <v>64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21.75" hidden="false" customHeight="true" outlineLevel="0" collapsed="false">
      <c r="A16" s="1"/>
      <c r="B16" s="5" t="s">
        <v>65</v>
      </c>
      <c r="C16" s="21" t="n">
        <v>0.75</v>
      </c>
      <c r="D16" s="17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21.75" hidden="false" customHeight="true" outlineLevel="0" collapsed="false">
      <c r="A17" s="1"/>
      <c r="B17" s="5" t="s">
        <v>67</v>
      </c>
      <c r="C17" s="22" t="n">
        <v>600</v>
      </c>
      <c r="D17" s="17" t="s">
        <v>68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4" t="s">
        <v>69</v>
      </c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5" t="s">
        <v>70</v>
      </c>
      <c r="C20" s="21" t="n">
        <v>0.5</v>
      </c>
      <c r="D20" s="17" t="s">
        <v>71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5" t="s">
        <v>72</v>
      </c>
      <c r="C21" s="21" t="n">
        <v>0.25</v>
      </c>
      <c r="D21" s="17" t="s">
        <v>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5" t="s">
        <v>74</v>
      </c>
      <c r="C22" s="21" t="n">
        <v>0.85</v>
      </c>
      <c r="D22" s="17" t="s">
        <v>75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5" t="s">
        <v>76</v>
      </c>
      <c r="C23" s="21" t="n">
        <v>1.2</v>
      </c>
      <c r="D23" s="17" t="s">
        <v>75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4" t="s">
        <v>77</v>
      </c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13" t="s">
        <v>78</v>
      </c>
      <c r="C26" s="23" t="n">
        <f aca="false">IF(Setup!$C$10="Guest List",Guests!$I$6,Setup!$C$11)</f>
        <v>10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13" t="s">
        <v>79</v>
      </c>
      <c r="C27" s="23" t="n">
        <f aca="false">IF(Setup!$C$10="Guest List",Guests!$I$7,Setup!$C$12)</f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13" t="s">
        <v>80</v>
      </c>
      <c r="C28" s="23" t="n">
        <f aca="false">Setup!$C$26+Setup!$C$27</f>
        <v>12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3" t="s">
        <v>81</v>
      </c>
      <c r="C29" s="24" t="n">
        <f aca="false">IF(Setup!$C$13="Light",Setup!$C$22,IF(Setup!$C$13="Hearty",Setup!$C$23,1))</f>
        <v>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3" t="s">
        <v>82</v>
      </c>
      <c r="C30" s="24" t="n">
        <f aca="false">IF(Setup!$C$14="Yes",1+Setup!$C$21,1)</f>
        <v>1.25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3" t="s">
        <v>83</v>
      </c>
      <c r="C31" s="25" t="n">
        <f aca="false">(Setup!$C$26+Setup!$C$27*Setup!$C$20)*Setup!$C$29*Setup!$C$30</f>
        <v>13.75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3" t="s">
        <v>84</v>
      </c>
      <c r="C32" s="23" t="n">
        <f aca="false">IF(LEFT(Setup!$C$15,6)="Metric",1,0)</f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5">
    <mergeCell ref="B2:D2"/>
    <mergeCell ref="B3:D3"/>
    <mergeCell ref="B5:D5"/>
    <mergeCell ref="B19:D19"/>
    <mergeCell ref="B25:D25"/>
  </mergeCells>
  <dataValidations count="4">
    <dataValidation allowBlank="true" errorStyle="stop" operator="between" showDropDown="false" showErrorMessage="false" showInputMessage="false" sqref="C10" type="list">
      <formula1>"Manual,Guest List"</formula1>
      <formula2>0</formula2>
    </dataValidation>
    <dataValidation allowBlank="true" errorStyle="stop" operator="between" showDropDown="false" showErrorMessage="false" showInputMessage="false" sqref="C13" type="list">
      <formula1>"Light,Normal,Hearty"</formula1>
      <formula2>0</formula2>
    </dataValidation>
    <dataValidation allowBlank="true" errorStyle="stop" operator="between" showDropDown="false" showErrorMessage="false" showInputMessage="false" sqref="C14" type="list">
      <formula1>"Yes,No"</formula1>
      <formula2>0</formula2>
    </dataValidation>
    <dataValidation allowBlank="true" errorStyle="stop" operator="between" showDropDown="false" showErrorMessage="false" showInputMessage="false" sqref="C15" type="list">
      <formula1>"Imperial (lb),Metric (kg)"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85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86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1"/>
      <c r="C5" s="13" t="s">
        <v>87</v>
      </c>
      <c r="D5" s="23" t="n">
        <f aca="false">COUNTIF($E$10:$E$69,"Maybe")+COUNTIFS($C$10:$C$69,"&lt;&gt;",$E$10:$E$69,"")</f>
        <v>1</v>
      </c>
      <c r="E5" s="1"/>
      <c r="F5" s="1"/>
      <c r="G5" s="1"/>
      <c r="H5" s="14" t="s">
        <v>88</v>
      </c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1"/>
      <c r="C6" s="13" t="s">
        <v>89</v>
      </c>
      <c r="D6" s="23" t="n">
        <f aca="false">COUNTIFS($F$10:$F$69,"&lt;&gt;None",$F$10:$F$69,"&lt;&gt;",$E$10:$E$69,"Yes")</f>
        <v>1</v>
      </c>
      <c r="E6" s="1"/>
      <c r="F6" s="1"/>
      <c r="G6" s="1"/>
      <c r="H6" s="13" t="s">
        <v>90</v>
      </c>
      <c r="I6" s="23" t="n">
        <f aca="false">COUNTIFS($D$10:$D$69,"Adult",$E$10:$E$69,"Yes")</f>
        <v>2</v>
      </c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"/>
      <c r="C7" s="13" t="s">
        <v>91</v>
      </c>
      <c r="D7" s="23" t="n">
        <f aca="false">COUNTIF($E$10:$E$69,"No")</f>
        <v>0</v>
      </c>
      <c r="E7" s="1"/>
      <c r="F7" s="1"/>
      <c r="G7" s="1"/>
      <c r="H7" s="13" t="s">
        <v>92</v>
      </c>
      <c r="I7" s="23" t="n">
        <f aca="false">COUNTIFS($D$10:$D$69,"Kid",$E$10:$E$69,"Yes")</f>
        <v>0</v>
      </c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30" hidden="false" customHeight="true" outlineLevel="0" collapsed="false">
      <c r="A9" s="1"/>
      <c r="B9" s="26" t="s">
        <v>93</v>
      </c>
      <c r="C9" s="26" t="s">
        <v>94</v>
      </c>
      <c r="D9" s="26" t="s">
        <v>95</v>
      </c>
      <c r="E9" s="26" t="s">
        <v>96</v>
      </c>
      <c r="F9" s="26" t="s">
        <v>97</v>
      </c>
      <c r="G9" s="26" t="s">
        <v>98</v>
      </c>
      <c r="H9" s="26" t="s">
        <v>99</v>
      </c>
      <c r="I9" s="26" t="s">
        <v>100</v>
      </c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27" t="n">
        <v>1</v>
      </c>
      <c r="C10" s="11" t="s">
        <v>101</v>
      </c>
      <c r="D10" s="16" t="s">
        <v>102</v>
      </c>
      <c r="E10" s="16" t="s">
        <v>60</v>
      </c>
      <c r="F10" s="16" t="s">
        <v>103</v>
      </c>
      <c r="G10" s="11"/>
      <c r="H10" s="11" t="s">
        <v>104</v>
      </c>
      <c r="I10" s="16" t="s">
        <v>105</v>
      </c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27" t="n">
        <v>2</v>
      </c>
      <c r="C11" s="11" t="s">
        <v>106</v>
      </c>
      <c r="D11" s="16" t="s">
        <v>102</v>
      </c>
      <c r="E11" s="16" t="s">
        <v>60</v>
      </c>
      <c r="F11" s="16" t="s">
        <v>107</v>
      </c>
      <c r="G11" s="11" t="s">
        <v>108</v>
      </c>
      <c r="H11" s="11" t="s">
        <v>109</v>
      </c>
      <c r="I11" s="16" t="s">
        <v>110</v>
      </c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27" t="n">
        <v>3</v>
      </c>
      <c r="C12" s="11" t="s">
        <v>111</v>
      </c>
      <c r="D12" s="16" t="s">
        <v>112</v>
      </c>
      <c r="E12" s="16" t="s">
        <v>113</v>
      </c>
      <c r="F12" s="16" t="s">
        <v>103</v>
      </c>
      <c r="G12" s="11"/>
      <c r="H12" s="11"/>
      <c r="I12" s="16" t="s">
        <v>114</v>
      </c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27" t="n">
        <v>4</v>
      </c>
      <c r="C13" s="11"/>
      <c r="D13" s="16"/>
      <c r="E13" s="16"/>
      <c r="F13" s="16"/>
      <c r="G13" s="11"/>
      <c r="H13" s="11"/>
      <c r="I13" s="16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27" t="n">
        <v>5</v>
      </c>
      <c r="C14" s="11"/>
      <c r="D14" s="16"/>
      <c r="E14" s="16"/>
      <c r="F14" s="16"/>
      <c r="G14" s="11"/>
      <c r="H14" s="11"/>
      <c r="I14" s="16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27" t="n">
        <v>6</v>
      </c>
      <c r="C15" s="11"/>
      <c r="D15" s="16"/>
      <c r="E15" s="16"/>
      <c r="F15" s="16"/>
      <c r="G15" s="11"/>
      <c r="H15" s="11"/>
      <c r="I15" s="16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27" t="n">
        <v>7</v>
      </c>
      <c r="C16" s="11"/>
      <c r="D16" s="16"/>
      <c r="E16" s="16"/>
      <c r="F16" s="16"/>
      <c r="G16" s="11"/>
      <c r="H16" s="11"/>
      <c r="I16" s="16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27" t="n">
        <v>8</v>
      </c>
      <c r="C17" s="11"/>
      <c r="D17" s="16"/>
      <c r="E17" s="16"/>
      <c r="F17" s="16"/>
      <c r="G17" s="11"/>
      <c r="H17" s="11"/>
      <c r="I17" s="16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27" t="n">
        <v>9</v>
      </c>
      <c r="C18" s="11"/>
      <c r="D18" s="16"/>
      <c r="E18" s="16"/>
      <c r="F18" s="16"/>
      <c r="G18" s="11"/>
      <c r="H18" s="11"/>
      <c r="I18" s="16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27" t="n">
        <v>10</v>
      </c>
      <c r="C19" s="11"/>
      <c r="D19" s="16"/>
      <c r="E19" s="16"/>
      <c r="F19" s="16"/>
      <c r="G19" s="11"/>
      <c r="H19" s="11"/>
      <c r="I19" s="16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27" t="n">
        <v>11</v>
      </c>
      <c r="C20" s="11"/>
      <c r="D20" s="16"/>
      <c r="E20" s="16"/>
      <c r="F20" s="16"/>
      <c r="G20" s="11"/>
      <c r="H20" s="11"/>
      <c r="I20" s="16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27" t="n">
        <v>12</v>
      </c>
      <c r="C21" s="11"/>
      <c r="D21" s="16"/>
      <c r="E21" s="16"/>
      <c r="F21" s="16"/>
      <c r="G21" s="11"/>
      <c r="H21" s="11"/>
      <c r="I21" s="16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27" t="n">
        <v>13</v>
      </c>
      <c r="C22" s="11"/>
      <c r="D22" s="16"/>
      <c r="E22" s="16"/>
      <c r="F22" s="16"/>
      <c r="G22" s="11"/>
      <c r="H22" s="11"/>
      <c r="I22" s="16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27" t="n">
        <v>14</v>
      </c>
      <c r="C23" s="11"/>
      <c r="D23" s="16"/>
      <c r="E23" s="16"/>
      <c r="F23" s="16"/>
      <c r="G23" s="11"/>
      <c r="H23" s="11"/>
      <c r="I23" s="16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27" t="n">
        <v>15</v>
      </c>
      <c r="C24" s="11"/>
      <c r="D24" s="16"/>
      <c r="E24" s="16"/>
      <c r="F24" s="16"/>
      <c r="G24" s="11"/>
      <c r="H24" s="11"/>
      <c r="I24" s="16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27" t="n">
        <v>16</v>
      </c>
      <c r="C25" s="11"/>
      <c r="D25" s="16"/>
      <c r="E25" s="16"/>
      <c r="F25" s="16"/>
      <c r="G25" s="11"/>
      <c r="H25" s="11"/>
      <c r="I25" s="16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27" t="n">
        <v>17</v>
      </c>
      <c r="C26" s="11"/>
      <c r="D26" s="16"/>
      <c r="E26" s="16"/>
      <c r="F26" s="16"/>
      <c r="G26" s="11"/>
      <c r="H26" s="11"/>
      <c r="I26" s="16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27" t="n">
        <v>18</v>
      </c>
      <c r="C27" s="11"/>
      <c r="D27" s="16"/>
      <c r="E27" s="16"/>
      <c r="F27" s="16"/>
      <c r="G27" s="11"/>
      <c r="H27" s="11"/>
      <c r="I27" s="16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27" t="n">
        <v>19</v>
      </c>
      <c r="C28" s="11"/>
      <c r="D28" s="16"/>
      <c r="E28" s="16"/>
      <c r="F28" s="16"/>
      <c r="G28" s="11"/>
      <c r="H28" s="11"/>
      <c r="I28" s="16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27" t="n">
        <v>20</v>
      </c>
      <c r="C29" s="11"/>
      <c r="D29" s="16"/>
      <c r="E29" s="16"/>
      <c r="F29" s="16"/>
      <c r="G29" s="11"/>
      <c r="H29" s="11"/>
      <c r="I29" s="16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27" t="n">
        <v>21</v>
      </c>
      <c r="C30" s="11"/>
      <c r="D30" s="16"/>
      <c r="E30" s="16"/>
      <c r="F30" s="16"/>
      <c r="G30" s="11"/>
      <c r="H30" s="11"/>
      <c r="I30" s="16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27" t="n">
        <v>22</v>
      </c>
      <c r="C31" s="11"/>
      <c r="D31" s="16"/>
      <c r="E31" s="16"/>
      <c r="F31" s="16"/>
      <c r="G31" s="11"/>
      <c r="H31" s="11"/>
      <c r="I31" s="16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27" t="n">
        <v>23</v>
      </c>
      <c r="C32" s="11"/>
      <c r="D32" s="16"/>
      <c r="E32" s="16"/>
      <c r="F32" s="16"/>
      <c r="G32" s="11"/>
      <c r="H32" s="11"/>
      <c r="I32" s="16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27" t="n">
        <v>24</v>
      </c>
      <c r="C33" s="11"/>
      <c r="D33" s="16"/>
      <c r="E33" s="16"/>
      <c r="F33" s="16"/>
      <c r="G33" s="11"/>
      <c r="H33" s="11"/>
      <c r="I33" s="16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27" t="n">
        <v>25</v>
      </c>
      <c r="C34" s="11"/>
      <c r="D34" s="16"/>
      <c r="E34" s="16"/>
      <c r="F34" s="16"/>
      <c r="G34" s="11"/>
      <c r="H34" s="11"/>
      <c r="I34" s="16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27" t="n">
        <v>26</v>
      </c>
      <c r="C35" s="11"/>
      <c r="D35" s="16"/>
      <c r="E35" s="16"/>
      <c r="F35" s="16"/>
      <c r="G35" s="11"/>
      <c r="H35" s="11"/>
      <c r="I35" s="16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27" t="n">
        <v>27</v>
      </c>
      <c r="C36" s="11"/>
      <c r="D36" s="16"/>
      <c r="E36" s="16"/>
      <c r="F36" s="16"/>
      <c r="G36" s="11"/>
      <c r="H36" s="11"/>
      <c r="I36" s="16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27" t="n">
        <v>28</v>
      </c>
      <c r="C37" s="11"/>
      <c r="D37" s="16"/>
      <c r="E37" s="16"/>
      <c r="F37" s="16"/>
      <c r="G37" s="11"/>
      <c r="H37" s="11"/>
      <c r="I37" s="16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27" t="n">
        <v>29</v>
      </c>
      <c r="C38" s="11"/>
      <c r="D38" s="16"/>
      <c r="E38" s="16"/>
      <c r="F38" s="16"/>
      <c r="G38" s="11"/>
      <c r="H38" s="11"/>
      <c r="I38" s="16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27" t="n">
        <v>30</v>
      </c>
      <c r="C39" s="11"/>
      <c r="D39" s="16"/>
      <c r="E39" s="16"/>
      <c r="F39" s="16"/>
      <c r="G39" s="11"/>
      <c r="H39" s="11"/>
      <c r="I39" s="16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27" t="n">
        <v>31</v>
      </c>
      <c r="C40" s="11"/>
      <c r="D40" s="16"/>
      <c r="E40" s="16"/>
      <c r="F40" s="16"/>
      <c r="G40" s="11"/>
      <c r="H40" s="11"/>
      <c r="I40" s="16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27" t="n">
        <v>32</v>
      </c>
      <c r="C41" s="11"/>
      <c r="D41" s="16"/>
      <c r="E41" s="16"/>
      <c r="F41" s="16"/>
      <c r="G41" s="11"/>
      <c r="H41" s="11"/>
      <c r="I41" s="16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27" t="n">
        <v>33</v>
      </c>
      <c r="C42" s="11"/>
      <c r="D42" s="16"/>
      <c r="E42" s="16"/>
      <c r="F42" s="16"/>
      <c r="G42" s="11"/>
      <c r="H42" s="11"/>
      <c r="I42" s="16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27" t="n">
        <v>34</v>
      </c>
      <c r="C43" s="11"/>
      <c r="D43" s="16"/>
      <c r="E43" s="16"/>
      <c r="F43" s="16"/>
      <c r="G43" s="11"/>
      <c r="H43" s="11"/>
      <c r="I43" s="16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27" t="n">
        <v>35</v>
      </c>
      <c r="C44" s="11"/>
      <c r="D44" s="16"/>
      <c r="E44" s="16"/>
      <c r="F44" s="16"/>
      <c r="G44" s="11"/>
      <c r="H44" s="11"/>
      <c r="I44" s="16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27" t="n">
        <v>36</v>
      </c>
      <c r="C45" s="11"/>
      <c r="D45" s="16"/>
      <c r="E45" s="16"/>
      <c r="F45" s="16"/>
      <c r="G45" s="11"/>
      <c r="H45" s="11"/>
      <c r="I45" s="16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27" t="n">
        <v>37</v>
      </c>
      <c r="C46" s="11"/>
      <c r="D46" s="16"/>
      <c r="E46" s="16"/>
      <c r="F46" s="16"/>
      <c r="G46" s="11"/>
      <c r="H46" s="11"/>
      <c r="I46" s="16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27" t="n">
        <v>38</v>
      </c>
      <c r="C47" s="11"/>
      <c r="D47" s="16"/>
      <c r="E47" s="16"/>
      <c r="F47" s="16"/>
      <c r="G47" s="11"/>
      <c r="H47" s="11"/>
      <c r="I47" s="16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27" t="n">
        <v>39</v>
      </c>
      <c r="C48" s="11"/>
      <c r="D48" s="16"/>
      <c r="E48" s="16"/>
      <c r="F48" s="16"/>
      <c r="G48" s="11"/>
      <c r="H48" s="11"/>
      <c r="I48" s="16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27" t="n">
        <v>40</v>
      </c>
      <c r="C49" s="11"/>
      <c r="D49" s="16"/>
      <c r="E49" s="16"/>
      <c r="F49" s="16"/>
      <c r="G49" s="11"/>
      <c r="H49" s="11"/>
      <c r="I49" s="16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27" t="n">
        <v>41</v>
      </c>
      <c r="C50" s="11"/>
      <c r="D50" s="16"/>
      <c r="E50" s="16"/>
      <c r="F50" s="16"/>
      <c r="G50" s="11"/>
      <c r="H50" s="11"/>
      <c r="I50" s="16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27" t="n">
        <v>42</v>
      </c>
      <c r="C51" s="11"/>
      <c r="D51" s="16"/>
      <c r="E51" s="16"/>
      <c r="F51" s="16"/>
      <c r="G51" s="11"/>
      <c r="H51" s="11"/>
      <c r="I51" s="16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27" t="n">
        <v>43</v>
      </c>
      <c r="C52" s="11"/>
      <c r="D52" s="16"/>
      <c r="E52" s="16"/>
      <c r="F52" s="16"/>
      <c r="G52" s="11"/>
      <c r="H52" s="11"/>
      <c r="I52" s="16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27" t="n">
        <v>44</v>
      </c>
      <c r="C53" s="11"/>
      <c r="D53" s="16"/>
      <c r="E53" s="16"/>
      <c r="F53" s="16"/>
      <c r="G53" s="11"/>
      <c r="H53" s="11"/>
      <c r="I53" s="16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27" t="n">
        <v>45</v>
      </c>
      <c r="C54" s="11"/>
      <c r="D54" s="16"/>
      <c r="E54" s="16"/>
      <c r="F54" s="16"/>
      <c r="G54" s="11"/>
      <c r="H54" s="11"/>
      <c r="I54" s="16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27" t="n">
        <v>46</v>
      </c>
      <c r="C55" s="11"/>
      <c r="D55" s="16"/>
      <c r="E55" s="16"/>
      <c r="F55" s="16"/>
      <c r="G55" s="11"/>
      <c r="H55" s="11"/>
      <c r="I55" s="16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27" t="n">
        <v>47</v>
      </c>
      <c r="C56" s="11"/>
      <c r="D56" s="16"/>
      <c r="E56" s="16"/>
      <c r="F56" s="16"/>
      <c r="G56" s="11"/>
      <c r="H56" s="11"/>
      <c r="I56" s="16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27" t="n">
        <v>48</v>
      </c>
      <c r="C57" s="11"/>
      <c r="D57" s="16"/>
      <c r="E57" s="16"/>
      <c r="F57" s="16"/>
      <c r="G57" s="11"/>
      <c r="H57" s="11"/>
      <c r="I57" s="16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27" t="n">
        <v>49</v>
      </c>
      <c r="C58" s="11"/>
      <c r="D58" s="16"/>
      <c r="E58" s="16"/>
      <c r="F58" s="16"/>
      <c r="G58" s="11"/>
      <c r="H58" s="11"/>
      <c r="I58" s="16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27" t="n">
        <v>50</v>
      </c>
      <c r="C59" s="11"/>
      <c r="D59" s="16"/>
      <c r="E59" s="16"/>
      <c r="F59" s="16"/>
      <c r="G59" s="11"/>
      <c r="H59" s="11"/>
      <c r="I59" s="16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27" t="n">
        <v>51</v>
      </c>
      <c r="C60" s="11"/>
      <c r="D60" s="16"/>
      <c r="E60" s="16"/>
      <c r="F60" s="16"/>
      <c r="G60" s="11"/>
      <c r="H60" s="11"/>
      <c r="I60" s="16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27" t="n">
        <v>52</v>
      </c>
      <c r="C61" s="11"/>
      <c r="D61" s="16"/>
      <c r="E61" s="16"/>
      <c r="F61" s="16"/>
      <c r="G61" s="11"/>
      <c r="H61" s="11"/>
      <c r="I61" s="16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27" t="n">
        <v>53</v>
      </c>
      <c r="C62" s="11"/>
      <c r="D62" s="16"/>
      <c r="E62" s="16"/>
      <c r="F62" s="16"/>
      <c r="G62" s="11"/>
      <c r="H62" s="11"/>
      <c r="I62" s="16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27" t="n">
        <v>54</v>
      </c>
      <c r="C63" s="11"/>
      <c r="D63" s="16"/>
      <c r="E63" s="16"/>
      <c r="F63" s="16"/>
      <c r="G63" s="11"/>
      <c r="H63" s="11"/>
      <c r="I63" s="16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27" t="n">
        <v>55</v>
      </c>
      <c r="C64" s="11"/>
      <c r="D64" s="16"/>
      <c r="E64" s="16"/>
      <c r="F64" s="16"/>
      <c r="G64" s="11"/>
      <c r="H64" s="11"/>
      <c r="I64" s="16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27" t="n">
        <v>56</v>
      </c>
      <c r="C65" s="11"/>
      <c r="D65" s="16"/>
      <c r="E65" s="16"/>
      <c r="F65" s="16"/>
      <c r="G65" s="11"/>
      <c r="H65" s="11"/>
      <c r="I65" s="16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27" t="n">
        <v>57</v>
      </c>
      <c r="C66" s="11"/>
      <c r="D66" s="16"/>
      <c r="E66" s="16"/>
      <c r="F66" s="16"/>
      <c r="G66" s="11"/>
      <c r="H66" s="11"/>
      <c r="I66" s="16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27" t="n">
        <v>58</v>
      </c>
      <c r="C67" s="11"/>
      <c r="D67" s="16"/>
      <c r="E67" s="16"/>
      <c r="F67" s="16"/>
      <c r="G67" s="11"/>
      <c r="H67" s="11"/>
      <c r="I67" s="16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27" t="n">
        <v>59</v>
      </c>
      <c r="C68" s="11"/>
      <c r="D68" s="16"/>
      <c r="E68" s="16"/>
      <c r="F68" s="16"/>
      <c r="G68" s="11"/>
      <c r="H68" s="11"/>
      <c r="I68" s="16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27" t="n">
        <v>60</v>
      </c>
      <c r="C69" s="11"/>
      <c r="D69" s="16"/>
      <c r="E69" s="16"/>
      <c r="F69" s="16"/>
      <c r="G69" s="11"/>
      <c r="H69" s="11"/>
      <c r="I69" s="16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2">
    <mergeCell ref="B2:I2"/>
    <mergeCell ref="B3:I3"/>
  </mergeCells>
  <conditionalFormatting sqref="E10:E6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3">
    <dataValidation allowBlank="true" errorStyle="stop" operator="between" showDropDown="false" showErrorMessage="false" showInputMessage="false" sqref="D10:D69" type="list">
      <formula1>"Adult,Kid"</formula1>
      <formula2>0</formula2>
    </dataValidation>
    <dataValidation allowBlank="true" errorStyle="stop" operator="between" showDropDown="false" showErrorMessage="false" showInputMessage="false" sqref="E10:E69" type="list">
      <formula1>"Yes,No,Maybe"</formula1>
      <formula2>0</formula2>
    </dataValidation>
    <dataValidation allowBlank="true" errorStyle="stop" operator="between" showDropDown="false" showErrorMessage="false" showInputMessage="false" sqref="F10:F69" type="list">
      <formula1>"None,Vegetarian,Vegan,Gluten-free,Dairy-free,Pescatarian,Other"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115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</row>
    <row r="3" customFormat="false" ht="15" hidden="false" customHeight="false" outlineLevel="0" collapsed="false">
      <c r="A3" s="1"/>
      <c r="B3" s="3" t="s">
        <v>116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5" t="s">
        <v>9</v>
      </c>
      <c r="C5" s="14" t="str">
        <f aca="false">Setup!$C$26&amp;" adults + "&amp;Setup!$C$27&amp;" kids"</f>
        <v>10 adults + 2 kids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5" t="s">
        <v>117</v>
      </c>
      <c r="C6" s="14" t="str">
        <f aca="false">TEXT(Setup!$C$31,"0.0")&amp;" adult portions"</f>
        <v>13.8 adult portions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30" hidden="false" customHeight="true" outlineLevel="0" collapsed="false">
      <c r="A8" s="1"/>
      <c r="B8" s="26" t="s">
        <v>118</v>
      </c>
      <c r="C8" s="26" t="s">
        <v>119</v>
      </c>
      <c r="D8" s="26" t="s">
        <v>120</v>
      </c>
      <c r="E8" s="26" t="s">
        <v>121</v>
      </c>
      <c r="F8" s="26" t="s">
        <v>122</v>
      </c>
      <c r="G8" s="26" t="s">
        <v>123</v>
      </c>
      <c r="H8" s="26" t="s">
        <v>124</v>
      </c>
      <c r="I8" s="26"/>
      <c r="J8" s="26" t="s">
        <v>125</v>
      </c>
      <c r="K8" s="26"/>
      <c r="L8" s="26" t="s">
        <v>126</v>
      </c>
      <c r="M8" s="1"/>
      <c r="N8" s="1"/>
      <c r="O8" s="1"/>
    </row>
    <row r="9" customFormat="false" ht="15" hidden="false" customHeight="false" outlineLevel="0" collapsed="false">
      <c r="A9" s="1"/>
      <c r="B9" s="28" t="s">
        <v>127</v>
      </c>
      <c r="C9" s="13" t="s">
        <v>128</v>
      </c>
      <c r="D9" s="16" t="s">
        <v>60</v>
      </c>
      <c r="E9" s="16" t="n">
        <v>550</v>
      </c>
      <c r="F9" s="29" t="s">
        <v>129</v>
      </c>
      <c r="G9" s="30" t="n">
        <f aca="false">IF(OR(D9&lt;&gt;"Yes",E9=""),0,IF(OR(F9="g",F9="ml"),E9*Setup!$C$31,ROUNDUP(E9*Setup!$C$31,0)))</f>
        <v>7562.5</v>
      </c>
      <c r="H9" s="31" t="n">
        <f aca="false">IF(OR(F9="g",F9="ml"),G9/1000,G9)</f>
        <v>7.5625</v>
      </c>
      <c r="I9" s="27" t="str">
        <f aca="false">IF(F9="g","kg",IF(F9="ml","L",F9))</f>
        <v>kg</v>
      </c>
      <c r="J9" s="31" t="n">
        <f aca="false">IF(F9="g",G9/453.6,IF(F9="ml",G9/946.4,G9))</f>
        <v>16.6721781305115</v>
      </c>
      <c r="K9" s="27" t="str">
        <f aca="false">IF(F9="g","lb",IF(F9="ml","qt",F9))</f>
        <v>lb</v>
      </c>
      <c r="L9" s="32" t="s">
        <v>130</v>
      </c>
      <c r="M9" s="1"/>
      <c r="N9" s="1"/>
      <c r="O9" s="1"/>
    </row>
    <row r="10" customFormat="false" ht="15" hidden="false" customHeight="false" outlineLevel="0" collapsed="false">
      <c r="A10" s="1"/>
      <c r="B10" s="28" t="s">
        <v>127</v>
      </c>
      <c r="C10" s="13" t="s">
        <v>131</v>
      </c>
      <c r="D10" s="16" t="s">
        <v>132</v>
      </c>
      <c r="E10" s="16" t="n">
        <v>250</v>
      </c>
      <c r="F10" s="29" t="s">
        <v>129</v>
      </c>
      <c r="G10" s="30" t="n">
        <f aca="false">IF(OR(D10&lt;&gt;"Yes",E10=""),0,IF(OR(F10="g",F10="ml"),E10*Setup!$C$31,ROUNDUP(E10*Setup!$C$31,0)))</f>
        <v>0</v>
      </c>
      <c r="H10" s="31" t="n">
        <f aca="false">IF(OR(F10="g",F10="ml"),G10/1000,G10)</f>
        <v>0</v>
      </c>
      <c r="I10" s="27" t="str">
        <f aca="false">IF(F10="g","kg",IF(F10="ml","L",F10))</f>
        <v>kg</v>
      </c>
      <c r="J10" s="31" t="n">
        <f aca="false">IF(F10="g",G10/453.6,IF(F10="ml",G10/946.4,G10))</f>
        <v>0</v>
      </c>
      <c r="K10" s="27" t="str">
        <f aca="false">IF(F10="g","lb",IF(F10="ml","qt",F10))</f>
        <v>lb</v>
      </c>
      <c r="L10" s="32" t="s">
        <v>133</v>
      </c>
      <c r="M10" s="1"/>
      <c r="N10" s="1"/>
      <c r="O10" s="1"/>
    </row>
    <row r="11" customFormat="false" ht="15" hidden="false" customHeight="false" outlineLevel="0" collapsed="false">
      <c r="A11" s="1"/>
      <c r="B11" s="28" t="s">
        <v>127</v>
      </c>
      <c r="C11" s="13" t="s">
        <v>134</v>
      </c>
      <c r="D11" s="16" t="s">
        <v>132</v>
      </c>
      <c r="E11" s="16" t="n">
        <v>200</v>
      </c>
      <c r="F11" s="29" t="s">
        <v>129</v>
      </c>
      <c r="G11" s="30" t="n">
        <f aca="false">IF(OR(D11&lt;&gt;"Yes",E11=""),0,IF(OR(F11="g",F11="ml"),E11*Setup!$C$31,ROUNDUP(E11*Setup!$C$31,0)))</f>
        <v>0</v>
      </c>
      <c r="H11" s="31" t="n">
        <f aca="false">IF(OR(F11="g",F11="ml"),G11/1000,G11)</f>
        <v>0</v>
      </c>
      <c r="I11" s="27" t="str">
        <f aca="false">IF(F11="g","kg",IF(F11="ml","L",F11))</f>
        <v>kg</v>
      </c>
      <c r="J11" s="31" t="n">
        <f aca="false">IF(F11="g",G11/453.6,IF(F11="ml",G11/946.4,G11))</f>
        <v>0</v>
      </c>
      <c r="K11" s="27" t="str">
        <f aca="false">IF(F11="g","lb",IF(F11="ml","qt",F11))</f>
        <v>lb</v>
      </c>
      <c r="L11" s="32" t="s">
        <v>135</v>
      </c>
      <c r="M11" s="1"/>
      <c r="N11" s="1"/>
      <c r="O11" s="1"/>
    </row>
    <row r="12" customFormat="false" ht="15" hidden="false" customHeight="false" outlineLevel="0" collapsed="false">
      <c r="A12" s="1"/>
      <c r="B12" s="28" t="s">
        <v>127</v>
      </c>
      <c r="C12" s="13" t="s">
        <v>136</v>
      </c>
      <c r="D12" s="16" t="s">
        <v>132</v>
      </c>
      <c r="E12" s="16" t="n">
        <v>450</v>
      </c>
      <c r="F12" s="29" t="s">
        <v>129</v>
      </c>
      <c r="G12" s="30" t="n">
        <f aca="false">IF(OR(D12&lt;&gt;"Yes",E12=""),0,IF(OR(F12="g",F12="ml"),E12*Setup!$C$31,ROUNDUP(E12*Setup!$C$31,0)))</f>
        <v>0</v>
      </c>
      <c r="H12" s="31" t="n">
        <f aca="false">IF(OR(F12="g",F12="ml"),G12/1000,G12)</f>
        <v>0</v>
      </c>
      <c r="I12" s="27" t="str">
        <f aca="false">IF(F12="g","kg",IF(F12="ml","L",F12))</f>
        <v>kg</v>
      </c>
      <c r="J12" s="31" t="n">
        <f aca="false">IF(F12="g",G12/453.6,IF(F12="ml",G12/946.4,G12))</f>
        <v>0</v>
      </c>
      <c r="K12" s="27" t="str">
        <f aca="false">IF(F12="g","lb",IF(F12="ml","qt",F12))</f>
        <v>lb</v>
      </c>
      <c r="L12" s="32"/>
      <c r="M12" s="1"/>
      <c r="N12" s="1"/>
      <c r="O12" s="1"/>
    </row>
    <row r="13" customFormat="false" ht="15" hidden="false" customHeight="false" outlineLevel="0" collapsed="false">
      <c r="A13" s="1"/>
      <c r="B13" s="28" t="s">
        <v>127</v>
      </c>
      <c r="C13" s="13" t="s">
        <v>137</v>
      </c>
      <c r="D13" s="16" t="s">
        <v>132</v>
      </c>
      <c r="E13" s="16" t="n">
        <v>170</v>
      </c>
      <c r="F13" s="29" t="s">
        <v>129</v>
      </c>
      <c r="G13" s="30" t="n">
        <f aca="false">IF(OR(D13&lt;&gt;"Yes",E13=""),0,IF(OR(F13="g",F13="ml"),E13*Setup!$C$31,ROUNDUP(E13*Setup!$C$31,0)))</f>
        <v>0</v>
      </c>
      <c r="H13" s="31" t="n">
        <f aca="false">IF(OR(F13="g",F13="ml"),G13/1000,G13)</f>
        <v>0</v>
      </c>
      <c r="I13" s="27" t="str">
        <f aca="false">IF(F13="g","kg",IF(F13="ml","L",F13))</f>
        <v>kg</v>
      </c>
      <c r="J13" s="31" t="n">
        <f aca="false">IF(F13="g",G13/453.6,IF(F13="ml",G13/946.4,G13))</f>
        <v>0</v>
      </c>
      <c r="K13" s="27" t="str">
        <f aca="false">IF(F13="g","lb",IF(F13="ml","qt",F13))</f>
        <v>lb</v>
      </c>
      <c r="L13" s="32"/>
      <c r="M13" s="1"/>
      <c r="N13" s="1"/>
      <c r="O13" s="1"/>
    </row>
    <row r="14" customFormat="false" ht="15" hidden="false" customHeight="false" outlineLevel="0" collapsed="false">
      <c r="A14" s="1"/>
      <c r="B14" s="28" t="s">
        <v>127</v>
      </c>
      <c r="C14" s="13" t="s">
        <v>138</v>
      </c>
      <c r="D14" s="16" t="s">
        <v>132</v>
      </c>
      <c r="E14" s="16" t="n">
        <v>200</v>
      </c>
      <c r="F14" s="29" t="s">
        <v>129</v>
      </c>
      <c r="G14" s="30" t="n">
        <f aca="false">IF(OR(D14&lt;&gt;"Yes",E14=""),0,IF(OR(F14="g",F14="ml"),E14*Setup!$C$31,ROUNDUP(E14*Setup!$C$31,0)))</f>
        <v>0</v>
      </c>
      <c r="H14" s="31" t="n">
        <f aca="false">IF(OR(F14="g",F14="ml"),G14/1000,G14)</f>
        <v>0</v>
      </c>
      <c r="I14" s="27" t="str">
        <f aca="false">IF(F14="g","kg",IF(F14="ml","L",F14))</f>
        <v>kg</v>
      </c>
      <c r="J14" s="31" t="n">
        <f aca="false">IF(F14="g",G14/453.6,IF(F14="ml",G14/946.4,G14))</f>
        <v>0</v>
      </c>
      <c r="K14" s="27" t="str">
        <f aca="false">IF(F14="g","lb",IF(F14="ml","qt",F14))</f>
        <v>lb</v>
      </c>
      <c r="L14" s="32" t="s">
        <v>139</v>
      </c>
      <c r="M14" s="1"/>
      <c r="N14" s="1"/>
      <c r="O14" s="1"/>
    </row>
    <row r="15" customFormat="false" ht="15" hidden="false" customHeight="false" outlineLevel="0" collapsed="false">
      <c r="A15" s="1"/>
      <c r="B15" s="33" t="s">
        <v>140</v>
      </c>
      <c r="C15" s="13" t="s">
        <v>141</v>
      </c>
      <c r="D15" s="16" t="s">
        <v>60</v>
      </c>
      <c r="E15" s="16" t="n">
        <v>200</v>
      </c>
      <c r="F15" s="29" t="s">
        <v>129</v>
      </c>
      <c r="G15" s="30" t="n">
        <f aca="false">IF(OR(D15&lt;&gt;"Yes",E15=""),0,IF(OR(F15="g",F15="ml"),E15*Setup!$C$31,ROUNDUP(E15*Setup!$C$31,0)))</f>
        <v>2750</v>
      </c>
      <c r="H15" s="31" t="n">
        <f aca="false">IF(OR(F15="g",F15="ml"),G15/1000,G15)</f>
        <v>2.75</v>
      </c>
      <c r="I15" s="27" t="str">
        <f aca="false">IF(F15="g","kg",IF(F15="ml","L",F15))</f>
        <v>kg</v>
      </c>
      <c r="J15" s="31" t="n">
        <f aca="false">IF(F15="g",G15/453.6,IF(F15="ml",G15/946.4,G15))</f>
        <v>6.0626102292769</v>
      </c>
      <c r="K15" s="27" t="str">
        <f aca="false">IF(F15="g","lb",IF(F15="ml","qt",F15))</f>
        <v>lb</v>
      </c>
      <c r="L15" s="32" t="s">
        <v>142</v>
      </c>
      <c r="M15" s="1"/>
      <c r="N15" s="1"/>
      <c r="O15" s="1"/>
    </row>
    <row r="16" customFormat="false" ht="15" hidden="false" customHeight="false" outlineLevel="0" collapsed="false">
      <c r="A16" s="1"/>
      <c r="B16" s="33" t="s">
        <v>140</v>
      </c>
      <c r="C16" s="13" t="s">
        <v>143</v>
      </c>
      <c r="D16" s="16" t="s">
        <v>60</v>
      </c>
      <c r="E16" s="16" t="n">
        <v>60</v>
      </c>
      <c r="F16" s="29" t="s">
        <v>129</v>
      </c>
      <c r="G16" s="30" t="n">
        <f aca="false">IF(OR(D16&lt;&gt;"Yes",E16=""),0,IF(OR(F16="g",F16="ml"),E16*Setup!$C$31,ROUNDUP(E16*Setup!$C$31,0)))</f>
        <v>825</v>
      </c>
      <c r="H16" s="31" t="n">
        <f aca="false">IF(OR(F16="g",F16="ml"),G16/1000,G16)</f>
        <v>0.825</v>
      </c>
      <c r="I16" s="27" t="str">
        <f aca="false">IF(F16="g","kg",IF(F16="ml","L",F16))</f>
        <v>kg</v>
      </c>
      <c r="J16" s="31" t="n">
        <f aca="false">IF(F16="g",G16/453.6,IF(F16="ml",G16/946.4,G16))</f>
        <v>1.81878306878307</v>
      </c>
      <c r="K16" s="27" t="str">
        <f aca="false">IF(F16="g","lb",IF(F16="ml","qt",F16))</f>
        <v>lb</v>
      </c>
      <c r="L16" s="32" t="s">
        <v>144</v>
      </c>
      <c r="M16" s="1"/>
      <c r="N16" s="1"/>
      <c r="O16" s="1"/>
    </row>
    <row r="17" customFormat="false" ht="15" hidden="false" customHeight="false" outlineLevel="0" collapsed="false">
      <c r="A17" s="1"/>
      <c r="B17" s="33" t="s">
        <v>140</v>
      </c>
      <c r="C17" s="13" t="s">
        <v>145</v>
      </c>
      <c r="D17" s="16" t="s">
        <v>60</v>
      </c>
      <c r="E17" s="16" t="n">
        <v>120</v>
      </c>
      <c r="F17" s="29" t="s">
        <v>129</v>
      </c>
      <c r="G17" s="30" t="n">
        <f aca="false">IF(OR(D17&lt;&gt;"Yes",E17=""),0,IF(OR(F17="g",F17="ml"),E17*Setup!$C$31,ROUNDUP(E17*Setup!$C$31,0)))</f>
        <v>1650</v>
      </c>
      <c r="H17" s="31" t="n">
        <f aca="false">IF(OR(F17="g",F17="ml"),G17/1000,G17)</f>
        <v>1.65</v>
      </c>
      <c r="I17" s="27" t="str">
        <f aca="false">IF(F17="g","kg",IF(F17="ml","L",F17))</f>
        <v>kg</v>
      </c>
      <c r="J17" s="31" t="n">
        <f aca="false">IF(F17="g",G17/453.6,IF(F17="ml",G17/946.4,G17))</f>
        <v>3.63756613756614</v>
      </c>
      <c r="K17" s="27" t="str">
        <f aca="false">IF(F17="g","lb",IF(F17="ml","qt",F17))</f>
        <v>lb</v>
      </c>
      <c r="L17" s="32"/>
      <c r="M17" s="1"/>
      <c r="N17" s="1"/>
      <c r="O17" s="1"/>
    </row>
    <row r="18" customFormat="false" ht="15" hidden="false" customHeight="false" outlineLevel="0" collapsed="false">
      <c r="A18" s="1"/>
      <c r="B18" s="33" t="s">
        <v>140</v>
      </c>
      <c r="C18" s="13" t="s">
        <v>146</v>
      </c>
      <c r="D18" s="16" t="s">
        <v>60</v>
      </c>
      <c r="E18" s="16" t="n">
        <v>120</v>
      </c>
      <c r="F18" s="29" t="s">
        <v>129</v>
      </c>
      <c r="G18" s="30" t="n">
        <f aca="false">IF(OR(D18&lt;&gt;"Yes",E18=""),0,IF(OR(F18="g",F18="ml"),E18*Setup!$C$31,ROUNDUP(E18*Setup!$C$31,0)))</f>
        <v>1650</v>
      </c>
      <c r="H18" s="31" t="n">
        <f aca="false">IF(OR(F18="g",F18="ml"),G18/1000,G18)</f>
        <v>1.65</v>
      </c>
      <c r="I18" s="27" t="str">
        <f aca="false">IF(F18="g","kg",IF(F18="ml","L",F18))</f>
        <v>kg</v>
      </c>
      <c r="J18" s="31" t="n">
        <f aca="false">IF(F18="g",G18/453.6,IF(F18="ml",G18/946.4,G18))</f>
        <v>3.63756613756614</v>
      </c>
      <c r="K18" s="27" t="str">
        <f aca="false">IF(F18="g","lb",IF(F18="ml","qt",F18))</f>
        <v>lb</v>
      </c>
      <c r="L18" s="32"/>
      <c r="M18" s="1"/>
      <c r="N18" s="1"/>
      <c r="O18" s="1"/>
    </row>
    <row r="19" customFormat="false" ht="15" hidden="false" customHeight="false" outlineLevel="0" collapsed="false">
      <c r="A19" s="1"/>
      <c r="B19" s="33" t="s">
        <v>140</v>
      </c>
      <c r="C19" s="13" t="s">
        <v>147</v>
      </c>
      <c r="D19" s="16" t="s">
        <v>132</v>
      </c>
      <c r="E19" s="16" t="n">
        <v>150</v>
      </c>
      <c r="F19" s="29" t="s">
        <v>129</v>
      </c>
      <c r="G19" s="30" t="n">
        <f aca="false">IF(OR(D19&lt;&gt;"Yes",E19=""),0,IF(OR(F19="g",F19="ml"),E19*Setup!$C$31,ROUNDUP(E19*Setup!$C$31,0)))</f>
        <v>0</v>
      </c>
      <c r="H19" s="31" t="n">
        <f aca="false">IF(OR(F19="g",F19="ml"),G19/1000,G19)</f>
        <v>0</v>
      </c>
      <c r="I19" s="27" t="str">
        <f aca="false">IF(F19="g","kg",IF(F19="ml","L",F19))</f>
        <v>kg</v>
      </c>
      <c r="J19" s="31" t="n">
        <f aca="false">IF(F19="g",G19/453.6,IF(F19="ml",G19/946.4,G19))</f>
        <v>0</v>
      </c>
      <c r="K19" s="27" t="str">
        <f aca="false">IF(F19="g","lb",IF(F19="ml","qt",F19))</f>
        <v>lb</v>
      </c>
      <c r="L19" s="32"/>
      <c r="M19" s="1"/>
      <c r="N19" s="1"/>
      <c r="O19" s="1"/>
    </row>
    <row r="20" customFormat="false" ht="15" hidden="false" customHeight="false" outlineLevel="0" collapsed="false">
      <c r="A20" s="1"/>
      <c r="B20" s="33" t="s">
        <v>140</v>
      </c>
      <c r="C20" s="13" t="s">
        <v>148</v>
      </c>
      <c r="D20" s="16" t="s">
        <v>132</v>
      </c>
      <c r="E20" s="16" t="n">
        <v>50</v>
      </c>
      <c r="F20" s="29" t="s">
        <v>129</v>
      </c>
      <c r="G20" s="30" t="n">
        <f aca="false">IF(OR(D20&lt;&gt;"Yes",E20=""),0,IF(OR(F20="g",F20="ml"),E20*Setup!$C$31,ROUNDUP(E20*Setup!$C$31,0)))</f>
        <v>0</v>
      </c>
      <c r="H20" s="31" t="n">
        <f aca="false">IF(OR(F20="g",F20="ml"),G20/1000,G20)</f>
        <v>0</v>
      </c>
      <c r="I20" s="27" t="str">
        <f aca="false">IF(F20="g","kg",IF(F20="ml","L",F20))</f>
        <v>kg</v>
      </c>
      <c r="J20" s="31" t="n">
        <f aca="false">IF(F20="g",G20/453.6,IF(F20="ml",G20/946.4,G20))</f>
        <v>0</v>
      </c>
      <c r="K20" s="27" t="str">
        <f aca="false">IF(F20="g","lb",IF(F20="ml","qt",F20))</f>
        <v>lb</v>
      </c>
      <c r="L20" s="32"/>
      <c r="M20" s="1"/>
      <c r="N20" s="1"/>
      <c r="O20" s="1"/>
    </row>
    <row r="21" customFormat="false" ht="15" hidden="false" customHeight="false" outlineLevel="0" collapsed="false">
      <c r="A21" s="1"/>
      <c r="B21" s="33" t="s">
        <v>140</v>
      </c>
      <c r="C21" s="13" t="s">
        <v>149</v>
      </c>
      <c r="D21" s="16" t="s">
        <v>132</v>
      </c>
      <c r="E21" s="16" t="n">
        <v>40</v>
      </c>
      <c r="F21" s="29" t="s">
        <v>129</v>
      </c>
      <c r="G21" s="30" t="n">
        <f aca="false">IF(OR(D21&lt;&gt;"Yes",E21=""),0,IF(OR(F21="g",F21="ml"),E21*Setup!$C$31,ROUNDUP(E21*Setup!$C$31,0)))</f>
        <v>0</v>
      </c>
      <c r="H21" s="31" t="n">
        <f aca="false">IF(OR(F21="g",F21="ml"),G21/1000,G21)</f>
        <v>0</v>
      </c>
      <c r="I21" s="27" t="str">
        <f aca="false">IF(F21="g","kg",IF(F21="ml","L",F21))</f>
        <v>kg</v>
      </c>
      <c r="J21" s="31" t="n">
        <f aca="false">IF(F21="g",G21/453.6,IF(F21="ml",G21/946.4,G21))</f>
        <v>0</v>
      </c>
      <c r="K21" s="27" t="str">
        <f aca="false">IF(F21="g","lb",IF(F21="ml","qt",F21))</f>
        <v>lb</v>
      </c>
      <c r="L21" s="32"/>
      <c r="M21" s="1"/>
      <c r="N21" s="1"/>
      <c r="O21" s="1"/>
    </row>
    <row r="22" customFormat="false" ht="15" hidden="false" customHeight="false" outlineLevel="0" collapsed="false">
      <c r="A22" s="1"/>
      <c r="B22" s="33" t="s">
        <v>140</v>
      </c>
      <c r="C22" s="13" t="s">
        <v>150</v>
      </c>
      <c r="D22" s="16" t="s">
        <v>60</v>
      </c>
      <c r="E22" s="16" t="n">
        <v>90</v>
      </c>
      <c r="F22" s="29" t="s">
        <v>151</v>
      </c>
      <c r="G22" s="30" t="n">
        <f aca="false">IF(OR(D22&lt;&gt;"Yes",E22=""),0,IF(OR(F22="g",F22="ml"),E22*Setup!$C$31,ROUNDUP(E22*Setup!$C$31,0)))</f>
        <v>1237.5</v>
      </c>
      <c r="H22" s="31" t="n">
        <f aca="false">IF(OR(F22="g",F22="ml"),G22/1000,G22)</f>
        <v>1.2375</v>
      </c>
      <c r="I22" s="27" t="str">
        <f aca="false">IF(F22="g","kg",IF(F22="ml","L",F22))</f>
        <v>L</v>
      </c>
      <c r="J22" s="31" t="n">
        <f aca="false">IF(F22="g",G22/453.6,IF(F22="ml",G22/946.4,G22))</f>
        <v>1.30758664412511</v>
      </c>
      <c r="K22" s="27" t="str">
        <f aca="false">IF(F22="g","lb",IF(F22="ml","qt",F22))</f>
        <v>qt</v>
      </c>
      <c r="L22" s="32" t="s">
        <v>152</v>
      </c>
      <c r="M22" s="1"/>
      <c r="N22" s="1"/>
      <c r="O22" s="1"/>
    </row>
    <row r="23" customFormat="false" ht="15" hidden="false" customHeight="false" outlineLevel="0" collapsed="false">
      <c r="A23" s="1"/>
      <c r="B23" s="33" t="s">
        <v>140</v>
      </c>
      <c r="C23" s="13" t="s">
        <v>153</v>
      </c>
      <c r="D23" s="16" t="s">
        <v>60</v>
      </c>
      <c r="E23" s="16" t="n">
        <v>60</v>
      </c>
      <c r="F23" s="29" t="s">
        <v>129</v>
      </c>
      <c r="G23" s="30" t="n">
        <f aca="false">IF(OR(D23&lt;&gt;"Yes",E23=""),0,IF(OR(F23="g",F23="ml"),E23*Setup!$C$31,ROUNDUP(E23*Setup!$C$31,0)))</f>
        <v>825</v>
      </c>
      <c r="H23" s="31" t="n">
        <f aca="false">IF(OR(F23="g",F23="ml"),G23/1000,G23)</f>
        <v>0.825</v>
      </c>
      <c r="I23" s="27" t="str">
        <f aca="false">IF(F23="g","kg",IF(F23="ml","L",F23))</f>
        <v>kg</v>
      </c>
      <c r="J23" s="31" t="n">
        <f aca="false">IF(F23="g",G23/453.6,IF(F23="ml",G23/946.4,G23))</f>
        <v>1.81878306878307</v>
      </c>
      <c r="K23" s="27" t="str">
        <f aca="false">IF(F23="g","lb",IF(F23="ml","qt",F23))</f>
        <v>lb</v>
      </c>
      <c r="L23" s="32"/>
      <c r="M23" s="1"/>
      <c r="N23" s="1"/>
      <c r="O23" s="1"/>
    </row>
    <row r="24" customFormat="false" ht="15" hidden="false" customHeight="false" outlineLevel="0" collapsed="false">
      <c r="A24" s="1"/>
      <c r="B24" s="33" t="s">
        <v>140</v>
      </c>
      <c r="C24" s="13" t="s">
        <v>154</v>
      </c>
      <c r="D24" s="16" t="s">
        <v>60</v>
      </c>
      <c r="E24" s="16" t="n">
        <v>1.5</v>
      </c>
      <c r="F24" s="29" t="s">
        <v>155</v>
      </c>
      <c r="G24" s="30" t="n">
        <f aca="false">IF(OR(D24&lt;&gt;"Yes",E24=""),0,IF(OR(F24="g",F24="ml"),E24*Setup!$C$31,ROUNDUP(E24*Setup!$C$31,0)))</f>
        <v>21</v>
      </c>
      <c r="H24" s="31" t="n">
        <f aca="false">IF(OR(F24="g",F24="ml"),G24/1000,G24)</f>
        <v>21</v>
      </c>
      <c r="I24" s="27" t="str">
        <f aca="false">IF(F24="g","kg",IF(F24="ml","L",F24))</f>
        <v>rolls</v>
      </c>
      <c r="J24" s="31" t="n">
        <f aca="false">IF(F24="g",G24/453.6,IF(F24="ml",G24/946.4,G24))</f>
        <v>21</v>
      </c>
      <c r="K24" s="27" t="str">
        <f aca="false">IF(F24="g","lb",IF(F24="ml","qt",F24))</f>
        <v>rolls</v>
      </c>
      <c r="L24" s="32"/>
      <c r="M24" s="1"/>
      <c r="N24" s="1"/>
      <c r="O24" s="1"/>
    </row>
    <row r="25" customFormat="false" ht="15" hidden="false" customHeight="false" outlineLevel="0" collapsed="false">
      <c r="A25" s="1"/>
      <c r="B25" s="34" t="s">
        <v>156</v>
      </c>
      <c r="C25" s="13" t="s">
        <v>157</v>
      </c>
      <c r="D25" s="16" t="s">
        <v>60</v>
      </c>
      <c r="E25" s="16" t="n">
        <v>50</v>
      </c>
      <c r="F25" s="29" t="s">
        <v>129</v>
      </c>
      <c r="G25" s="30" t="n">
        <f aca="false">IF(OR(D25&lt;&gt;"Yes",E25=""),0,IF(OR(F25="g",F25="ml"),E25*Setup!$C$31,ROUNDUP(E25*Setup!$C$31,0)))</f>
        <v>687.5</v>
      </c>
      <c r="H25" s="31" t="n">
        <f aca="false">IF(OR(F25="g",F25="ml"),G25/1000,G25)</f>
        <v>0.6875</v>
      </c>
      <c r="I25" s="27" t="str">
        <f aca="false">IF(F25="g","kg",IF(F25="ml","L",F25))</f>
        <v>kg</v>
      </c>
      <c r="J25" s="31" t="n">
        <f aca="false">IF(F25="g",G25/453.6,IF(F25="ml",G25/946.4,G25))</f>
        <v>1.51565255731922</v>
      </c>
      <c r="K25" s="27" t="str">
        <f aca="false">IF(F25="g","lb",IF(F25="ml","qt",F25))</f>
        <v>lb</v>
      </c>
      <c r="L25" s="32" t="s">
        <v>158</v>
      </c>
      <c r="M25" s="1"/>
      <c r="N25" s="1"/>
      <c r="O25" s="1"/>
    </row>
    <row r="26" customFormat="false" ht="15" hidden="false" customHeight="false" outlineLevel="0" collapsed="false">
      <c r="A26" s="1"/>
      <c r="B26" s="34" t="s">
        <v>156</v>
      </c>
      <c r="C26" s="13" t="s">
        <v>159</v>
      </c>
      <c r="D26" s="16" t="s">
        <v>132</v>
      </c>
      <c r="E26" s="16" t="n">
        <v>40</v>
      </c>
      <c r="F26" s="29" t="s">
        <v>129</v>
      </c>
      <c r="G26" s="30" t="n">
        <f aca="false">IF(OR(D26&lt;&gt;"Yes",E26=""),0,IF(OR(F26="g",F26="ml"),E26*Setup!$C$31,ROUNDUP(E26*Setup!$C$31,0)))</f>
        <v>0</v>
      </c>
      <c r="H26" s="31" t="n">
        <f aca="false">IF(OR(F26="g",F26="ml"),G26/1000,G26)</f>
        <v>0</v>
      </c>
      <c r="I26" s="27" t="str">
        <f aca="false">IF(F26="g","kg",IF(F26="ml","L",F26))</f>
        <v>kg</v>
      </c>
      <c r="J26" s="31" t="n">
        <f aca="false">IF(F26="g",G26/453.6,IF(F26="ml",G26/946.4,G26))</f>
        <v>0</v>
      </c>
      <c r="K26" s="27" t="str">
        <f aca="false">IF(F26="g","lb",IF(F26="ml","qt",F26))</f>
        <v>lb</v>
      </c>
      <c r="L26" s="32"/>
      <c r="M26" s="1"/>
      <c r="N26" s="1"/>
      <c r="O26" s="1"/>
    </row>
    <row r="27" customFormat="false" ht="15" hidden="false" customHeight="false" outlineLevel="0" collapsed="false">
      <c r="A27" s="1"/>
      <c r="B27" s="34" t="s">
        <v>156</v>
      </c>
      <c r="C27" s="13" t="s">
        <v>160</v>
      </c>
      <c r="D27" s="16" t="s">
        <v>60</v>
      </c>
      <c r="E27" s="16" t="n">
        <v>40</v>
      </c>
      <c r="F27" s="29" t="s">
        <v>129</v>
      </c>
      <c r="G27" s="30" t="n">
        <f aca="false">IF(OR(D27&lt;&gt;"Yes",E27=""),0,IF(OR(F27="g",F27="ml"),E27*Setup!$C$31,ROUNDUP(E27*Setup!$C$31,0)))</f>
        <v>550</v>
      </c>
      <c r="H27" s="31" t="n">
        <f aca="false">IF(OR(F27="g",F27="ml"),G27/1000,G27)</f>
        <v>0.55</v>
      </c>
      <c r="I27" s="27" t="str">
        <f aca="false">IF(F27="g","kg",IF(F27="ml","L",F27))</f>
        <v>kg</v>
      </c>
      <c r="J27" s="31" t="n">
        <f aca="false">IF(F27="g",G27/453.6,IF(F27="ml",G27/946.4,G27))</f>
        <v>1.21252204585538</v>
      </c>
      <c r="K27" s="27" t="str">
        <f aca="false">IF(F27="g","lb",IF(F27="ml","qt",F27))</f>
        <v>lb</v>
      </c>
      <c r="L27" s="32"/>
      <c r="M27" s="1"/>
      <c r="N27" s="1"/>
      <c r="O27" s="1"/>
    </row>
    <row r="28" customFormat="false" ht="15" hidden="false" customHeight="false" outlineLevel="0" collapsed="false">
      <c r="A28" s="1"/>
      <c r="B28" s="34" t="s">
        <v>156</v>
      </c>
      <c r="C28" s="13" t="s">
        <v>161</v>
      </c>
      <c r="D28" s="16" t="s">
        <v>60</v>
      </c>
      <c r="E28" s="16" t="n">
        <v>80</v>
      </c>
      <c r="F28" s="29" t="s">
        <v>129</v>
      </c>
      <c r="G28" s="30" t="n">
        <f aca="false">IF(OR(D28&lt;&gt;"Yes",E28=""),0,IF(OR(F28="g",F28="ml"),E28*Setup!$C$31,ROUNDUP(E28*Setup!$C$31,0)))</f>
        <v>1100</v>
      </c>
      <c r="H28" s="31" t="n">
        <f aca="false">IF(OR(F28="g",F28="ml"),G28/1000,G28)</f>
        <v>1.1</v>
      </c>
      <c r="I28" s="27" t="str">
        <f aca="false">IF(F28="g","kg",IF(F28="ml","L",F28))</f>
        <v>kg</v>
      </c>
      <c r="J28" s="31" t="n">
        <f aca="false">IF(F28="g",G28/453.6,IF(F28="ml",G28/946.4,G28))</f>
        <v>2.42504409171076</v>
      </c>
      <c r="K28" s="27" t="str">
        <f aca="false">IF(F28="g","lb",IF(F28="ml","qt",F28))</f>
        <v>lb</v>
      </c>
      <c r="L28" s="32"/>
      <c r="M28" s="1"/>
      <c r="N28" s="1"/>
      <c r="O28" s="1"/>
    </row>
    <row r="29" customFormat="false" ht="15" hidden="false" customHeight="false" outlineLevel="0" collapsed="false">
      <c r="A29" s="1"/>
      <c r="B29" s="34" t="s">
        <v>156</v>
      </c>
      <c r="C29" s="13" t="s">
        <v>162</v>
      </c>
      <c r="D29" s="16" t="s">
        <v>132</v>
      </c>
      <c r="E29" s="16" t="n">
        <v>30</v>
      </c>
      <c r="F29" s="29" t="s">
        <v>129</v>
      </c>
      <c r="G29" s="30" t="n">
        <f aca="false">IF(OR(D29&lt;&gt;"Yes",E29=""),0,IF(OR(F29="g",F29="ml"),E29*Setup!$C$31,ROUNDUP(E29*Setup!$C$31,0)))</f>
        <v>0</v>
      </c>
      <c r="H29" s="31" t="n">
        <f aca="false">IF(OR(F29="g",F29="ml"),G29/1000,G29)</f>
        <v>0</v>
      </c>
      <c r="I29" s="27" t="str">
        <f aca="false">IF(F29="g","kg",IF(F29="ml","L",F29))</f>
        <v>kg</v>
      </c>
      <c r="J29" s="31" t="n">
        <f aca="false">IF(F29="g",G29/453.6,IF(F29="ml",G29/946.4,G29))</f>
        <v>0</v>
      </c>
      <c r="K29" s="27" t="str">
        <f aca="false">IF(F29="g","lb",IF(F29="ml","qt",F29))</f>
        <v>lb</v>
      </c>
      <c r="L29" s="32"/>
      <c r="M29" s="1"/>
      <c r="N29" s="1"/>
      <c r="O29" s="1"/>
    </row>
    <row r="30" customFormat="false" ht="15" hidden="false" customHeight="false" outlineLevel="0" collapsed="false">
      <c r="A30" s="1"/>
      <c r="B30" s="35" t="s">
        <v>163</v>
      </c>
      <c r="C30" s="13" t="s">
        <v>164</v>
      </c>
      <c r="D30" s="16" t="s">
        <v>60</v>
      </c>
      <c r="E30" s="16" t="n">
        <v>0.16</v>
      </c>
      <c r="F30" s="29" t="s">
        <v>165</v>
      </c>
      <c r="G30" s="30" t="n">
        <f aca="false">IF(OR(D30&lt;&gt;"Yes",E30=""),0,IF(OR(F30="g",F30="ml"),E30*Setup!$C$31,ROUNDUP(E30*Setup!$C$31,0)))</f>
        <v>3</v>
      </c>
      <c r="H30" s="31" t="n">
        <f aca="false">IF(OR(F30="g",F30="ml"),G30/1000,G30)</f>
        <v>3</v>
      </c>
      <c r="I30" s="27" t="str">
        <f aca="false">IF(F30="g","kg",IF(F30="ml","L",F30))</f>
        <v>pies</v>
      </c>
      <c r="J30" s="31" t="n">
        <f aca="false">IF(F30="g",G30/453.6,IF(F30="ml",G30/946.4,G30))</f>
        <v>3</v>
      </c>
      <c r="K30" s="27" t="str">
        <f aca="false">IF(F30="g","lb",IF(F30="ml","qt",F30))</f>
        <v>pies</v>
      </c>
      <c r="L30" s="32" t="s">
        <v>166</v>
      </c>
      <c r="M30" s="1"/>
      <c r="N30" s="1"/>
      <c r="O30" s="1"/>
    </row>
    <row r="31" customFormat="false" ht="15" hidden="false" customHeight="false" outlineLevel="0" collapsed="false">
      <c r="A31" s="1"/>
      <c r="B31" s="35" t="s">
        <v>163</v>
      </c>
      <c r="C31" s="13" t="s">
        <v>167</v>
      </c>
      <c r="D31" s="16" t="s">
        <v>132</v>
      </c>
      <c r="E31" s="16" t="n">
        <v>0.1</v>
      </c>
      <c r="F31" s="29" t="s">
        <v>168</v>
      </c>
      <c r="G31" s="30" t="n">
        <f aca="false">IF(OR(D31&lt;&gt;"Yes",E31=""),0,IF(OR(F31="g",F31="ml"),E31*Setup!$C$31,ROUNDUP(E31*Setup!$C$31,0)))</f>
        <v>0</v>
      </c>
      <c r="H31" s="31" t="n">
        <f aca="false">IF(OR(F31="g",F31="ml"),G31/1000,G31)</f>
        <v>0</v>
      </c>
      <c r="I31" s="27" t="str">
        <f aca="false">IF(F31="g","kg",IF(F31="ml","L",F31))</f>
        <v>cakes</v>
      </c>
      <c r="J31" s="31" t="n">
        <f aca="false">IF(F31="g",G31/453.6,IF(F31="ml",G31/946.4,G31))</f>
        <v>0</v>
      </c>
      <c r="K31" s="27" t="str">
        <f aca="false">IF(F31="g","lb",IF(F31="ml","qt",F31))</f>
        <v>cakes</v>
      </c>
      <c r="L31" s="32"/>
      <c r="M31" s="1"/>
      <c r="N31" s="1"/>
      <c r="O31" s="1"/>
    </row>
    <row r="32" customFormat="false" ht="15" hidden="false" customHeight="false" outlineLevel="0" collapsed="false">
      <c r="A32" s="1"/>
      <c r="B32" s="35" t="s">
        <v>163</v>
      </c>
      <c r="C32" s="13" t="s">
        <v>169</v>
      </c>
      <c r="D32" s="16" t="s">
        <v>60</v>
      </c>
      <c r="E32" s="16" t="n">
        <v>60</v>
      </c>
      <c r="F32" s="29" t="s">
        <v>151</v>
      </c>
      <c r="G32" s="30" t="n">
        <f aca="false">IF(OR(D32&lt;&gt;"Yes",E32=""),0,IF(OR(F32="g",F32="ml"),E32*Setup!$C$31,ROUNDUP(E32*Setup!$C$31,0)))</f>
        <v>825</v>
      </c>
      <c r="H32" s="31" t="n">
        <f aca="false">IF(OR(F32="g",F32="ml"),G32/1000,G32)</f>
        <v>0.825</v>
      </c>
      <c r="I32" s="27" t="str">
        <f aca="false">IF(F32="g","kg",IF(F32="ml","L",F32))</f>
        <v>L</v>
      </c>
      <c r="J32" s="31" t="n">
        <f aca="false">IF(F32="g",G32/453.6,IF(F32="ml",G32/946.4,G32))</f>
        <v>0.871724429416737</v>
      </c>
      <c r="K32" s="27" t="str">
        <f aca="false">IF(F32="g","lb",IF(F32="ml","qt",F32))</f>
        <v>qt</v>
      </c>
      <c r="L32" s="32"/>
      <c r="M32" s="1"/>
      <c r="N32" s="1"/>
      <c r="O32" s="1"/>
    </row>
    <row r="33" customFormat="false" ht="15" hidden="false" customHeight="false" outlineLevel="0" collapsed="false">
      <c r="A33" s="1"/>
      <c r="B33" s="35" t="s">
        <v>163</v>
      </c>
      <c r="C33" s="13" t="s">
        <v>170</v>
      </c>
      <c r="D33" s="16" t="s">
        <v>60</v>
      </c>
      <c r="E33" s="16" t="n">
        <v>10</v>
      </c>
      <c r="F33" s="29" t="s">
        <v>129</v>
      </c>
      <c r="G33" s="30" t="n">
        <f aca="false">IF(OR(D33&lt;&gt;"Yes",E33=""),0,IF(OR(F33="g",F33="ml"),E33*Setup!$C$31,ROUNDUP(E33*Setup!$C$31,0)))</f>
        <v>137.5</v>
      </c>
      <c r="H33" s="31" t="n">
        <f aca="false">IF(OR(F33="g",F33="ml"),G33/1000,G33)</f>
        <v>0.1375</v>
      </c>
      <c r="I33" s="27" t="str">
        <f aca="false">IF(F33="g","kg",IF(F33="ml","L",F33))</f>
        <v>kg</v>
      </c>
      <c r="J33" s="31" t="n">
        <f aca="false">IF(F33="g",G33/453.6,IF(F33="ml",G33/946.4,G33))</f>
        <v>0.303130511463845</v>
      </c>
      <c r="K33" s="27" t="str">
        <f aca="false">IF(F33="g","lb",IF(F33="ml","qt",F33))</f>
        <v>lb</v>
      </c>
      <c r="L33" s="32" t="s">
        <v>171</v>
      </c>
      <c r="M33" s="1"/>
      <c r="N33" s="1"/>
      <c r="O33" s="1"/>
    </row>
    <row r="34" customFormat="false" ht="15" hidden="false" customHeight="false" outlineLevel="0" collapsed="false">
      <c r="A34" s="1"/>
      <c r="B34" s="36" t="s">
        <v>172</v>
      </c>
      <c r="C34" s="11"/>
      <c r="D34" s="16" t="s">
        <v>132</v>
      </c>
      <c r="E34" s="16"/>
      <c r="F34" s="16" t="s">
        <v>129</v>
      </c>
      <c r="G34" s="30" t="n">
        <f aca="false">IF(OR(D34&lt;&gt;"Yes",E34=""),0,IF(OR(F34="g",F34="ml"),E34*Setup!$C$31,ROUNDUP(E34*Setup!$C$31,0)))</f>
        <v>0</v>
      </c>
      <c r="H34" s="31" t="n">
        <f aca="false">IF(OR(F34="g",F34="ml"),G34/1000,G34)</f>
        <v>0</v>
      </c>
      <c r="I34" s="27" t="str">
        <f aca="false">IF(F34="g","kg",IF(F34="ml","L",F34))</f>
        <v>kg</v>
      </c>
      <c r="J34" s="31" t="n">
        <f aca="false">IF(F34="g",G34/453.6,IF(F34="ml",G34/946.4,G34))</f>
        <v>0</v>
      </c>
      <c r="K34" s="27" t="str">
        <f aca="false">IF(F34="g","lb",IF(F34="ml","qt",F34))</f>
        <v>lb</v>
      </c>
      <c r="L34" s="32" t="s">
        <v>173</v>
      </c>
      <c r="M34" s="1"/>
      <c r="N34" s="1"/>
      <c r="O34" s="1"/>
    </row>
    <row r="35" customFormat="false" ht="15" hidden="false" customHeight="false" outlineLevel="0" collapsed="false">
      <c r="A35" s="1"/>
      <c r="B35" s="36" t="s">
        <v>172</v>
      </c>
      <c r="C35" s="11"/>
      <c r="D35" s="16" t="s">
        <v>132</v>
      </c>
      <c r="E35" s="16"/>
      <c r="F35" s="16" t="s">
        <v>129</v>
      </c>
      <c r="G35" s="30" t="n">
        <f aca="false">IF(OR(D35&lt;&gt;"Yes",E35=""),0,IF(OR(F35="g",F35="ml"),E35*Setup!$C$31,ROUNDUP(E35*Setup!$C$31,0)))</f>
        <v>0</v>
      </c>
      <c r="H35" s="31" t="n">
        <f aca="false">IF(OR(F35="g",F35="ml"),G35/1000,G35)</f>
        <v>0</v>
      </c>
      <c r="I35" s="27" t="str">
        <f aca="false">IF(F35="g","kg",IF(F35="ml","L",F35))</f>
        <v>kg</v>
      </c>
      <c r="J35" s="31" t="n">
        <f aca="false">IF(F35="g",G35/453.6,IF(F35="ml",G35/946.4,G35))</f>
        <v>0</v>
      </c>
      <c r="K35" s="27" t="str">
        <f aca="false">IF(F35="g","lb",IF(F35="ml","qt",F35))</f>
        <v>lb</v>
      </c>
      <c r="L35" s="32"/>
      <c r="M35" s="1"/>
      <c r="N35" s="1"/>
      <c r="O35" s="1"/>
    </row>
    <row r="36" customFormat="false" ht="15" hidden="false" customHeight="false" outlineLevel="0" collapsed="false">
      <c r="A36" s="1"/>
      <c r="B36" s="36" t="s">
        <v>172</v>
      </c>
      <c r="C36" s="11"/>
      <c r="D36" s="16" t="s">
        <v>132</v>
      </c>
      <c r="E36" s="16"/>
      <c r="F36" s="16" t="s">
        <v>129</v>
      </c>
      <c r="G36" s="30" t="n">
        <f aca="false">IF(OR(D36&lt;&gt;"Yes",E36=""),0,IF(OR(F36="g",F36="ml"),E36*Setup!$C$31,ROUNDUP(E36*Setup!$C$31,0)))</f>
        <v>0</v>
      </c>
      <c r="H36" s="31" t="n">
        <f aca="false">IF(OR(F36="g",F36="ml"),G36/1000,G36)</f>
        <v>0</v>
      </c>
      <c r="I36" s="27" t="str">
        <f aca="false">IF(F36="g","kg",IF(F36="ml","L",F36))</f>
        <v>kg</v>
      </c>
      <c r="J36" s="31" t="n">
        <f aca="false">IF(F36="g",G36/453.6,IF(F36="ml",G36/946.4,G36))</f>
        <v>0</v>
      </c>
      <c r="K36" s="27" t="str">
        <f aca="false">IF(F36="g","lb",IF(F36="ml","qt",F36))</f>
        <v>lb</v>
      </c>
      <c r="L36" s="32"/>
      <c r="M36" s="1"/>
      <c r="N36" s="1"/>
      <c r="O36" s="1"/>
    </row>
    <row r="37" customFormat="false" ht="15" hidden="false" customHeight="false" outlineLevel="0" collapsed="false">
      <c r="A37" s="1"/>
      <c r="B37" s="36" t="s">
        <v>172</v>
      </c>
      <c r="C37" s="11"/>
      <c r="D37" s="16" t="s">
        <v>132</v>
      </c>
      <c r="E37" s="16"/>
      <c r="F37" s="16" t="s">
        <v>129</v>
      </c>
      <c r="G37" s="30" t="n">
        <f aca="false">IF(OR(D37&lt;&gt;"Yes",E37=""),0,IF(OR(F37="g",F37="ml"),E37*Setup!$C$31,ROUNDUP(E37*Setup!$C$31,0)))</f>
        <v>0</v>
      </c>
      <c r="H37" s="31" t="n">
        <f aca="false">IF(OR(F37="g",F37="ml"),G37/1000,G37)</f>
        <v>0</v>
      </c>
      <c r="I37" s="27" t="str">
        <f aca="false">IF(F37="g","kg",IF(F37="ml","L",F37))</f>
        <v>kg</v>
      </c>
      <c r="J37" s="31" t="n">
        <f aca="false">IF(F37="g",G37/453.6,IF(F37="ml",G37/946.4,G37))</f>
        <v>0</v>
      </c>
      <c r="K37" s="27" t="str">
        <f aca="false">IF(F37="g","lb",IF(F37="ml","qt",F37))</f>
        <v>lb</v>
      </c>
      <c r="L37" s="32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5" t="s">
        <v>174</v>
      </c>
      <c r="D39" s="1"/>
      <c r="E39" s="1"/>
      <c r="F39" s="1"/>
      <c r="G39" s="1"/>
      <c r="H39" s="31" t="n">
        <f aca="false">SUMIF(F9:F37,"g",G9:G37)/1000</f>
        <v>17.7375</v>
      </c>
      <c r="I39" s="27" t="s">
        <v>175</v>
      </c>
      <c r="J39" s="31" t="n">
        <f aca="false">H39*2.2046</f>
        <v>39.1040925</v>
      </c>
      <c r="K39" s="27" t="s">
        <v>176</v>
      </c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37" t="s">
        <v>177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4">
    <mergeCell ref="B2:L2"/>
    <mergeCell ref="B3:L3"/>
    <mergeCell ref="H8:I8"/>
    <mergeCell ref="J8:K8"/>
  </mergeCells>
  <conditionalFormatting sqref="C9:K37">
    <cfRule type="expression" priority="2" aboveAverage="0" equalAverage="0" bottom="0" percent="0" rank="0" text="" dxfId="2">
      <formula>$D9&lt;&gt;"Yes"</formula>
    </cfRule>
  </conditionalFormatting>
  <dataValidations count="1">
    <dataValidation allowBlank="true" errorStyle="stop" operator="between" showDropDown="false" showErrorMessage="false" showInputMessage="false" sqref="D9:D3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178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179</v>
      </c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4" t="s">
        <v>180</v>
      </c>
      <c r="C5" s="4"/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13" t="s">
        <v>181</v>
      </c>
      <c r="C6" s="20" t="n">
        <v>2</v>
      </c>
      <c r="D6" s="38" t="s">
        <v>182</v>
      </c>
      <c r="E6" s="38"/>
      <c r="F6" s="38"/>
      <c r="G6" s="38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3" t="s">
        <v>183</v>
      </c>
      <c r="C7" s="20" t="n">
        <v>1</v>
      </c>
      <c r="D7" s="38"/>
      <c r="E7" s="38"/>
      <c r="F7" s="38"/>
      <c r="G7" s="38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/>
      <c r="B8" s="13" t="s">
        <v>184</v>
      </c>
      <c r="C8" s="21" t="n">
        <v>0.5</v>
      </c>
      <c r="D8" s="38" t="s">
        <v>185</v>
      </c>
      <c r="E8" s="38"/>
      <c r="F8" s="38"/>
      <c r="G8" s="38"/>
      <c r="H8" s="1"/>
      <c r="I8" s="1"/>
      <c r="J8" s="1"/>
      <c r="K8" s="1"/>
      <c r="L8" s="1"/>
      <c r="M8" s="1"/>
      <c r="N8" s="1"/>
      <c r="O8" s="1"/>
    </row>
    <row r="9" customFormat="false" ht="15" hidden="false" customHeight="false" outlineLevel="0" collapsed="false">
      <c r="A9" s="1"/>
      <c r="B9" s="13" t="s">
        <v>186</v>
      </c>
      <c r="C9" s="21" t="n">
        <v>0.3</v>
      </c>
      <c r="D9" s="38"/>
      <c r="E9" s="38"/>
      <c r="F9" s="38"/>
      <c r="G9" s="38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13" t="s">
        <v>187</v>
      </c>
      <c r="C10" s="21" t="n">
        <v>0.2</v>
      </c>
      <c r="D10" s="38"/>
      <c r="E10" s="38"/>
      <c r="F10" s="38"/>
      <c r="G10" s="38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13" t="s">
        <v>188</v>
      </c>
      <c r="C11" s="20" t="n">
        <v>5</v>
      </c>
      <c r="D11" s="38" t="s">
        <v>189</v>
      </c>
      <c r="E11" s="38"/>
      <c r="F11" s="38"/>
      <c r="G11" s="38"/>
      <c r="H11" s="1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13" t="s">
        <v>190</v>
      </c>
      <c r="C12" s="20" t="n">
        <v>16</v>
      </c>
      <c r="D12" s="38" t="s">
        <v>191</v>
      </c>
      <c r="E12" s="38"/>
      <c r="F12" s="38"/>
      <c r="G12" s="38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13" t="s">
        <v>192</v>
      </c>
      <c r="C13" s="39" t="n">
        <v>0.15</v>
      </c>
      <c r="D13" s="38" t="s">
        <v>193</v>
      </c>
      <c r="E13" s="38"/>
      <c r="F13" s="38"/>
      <c r="G13" s="38"/>
      <c r="H13" s="1"/>
      <c r="I13" s="1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13" t="s">
        <v>194</v>
      </c>
      <c r="C14" s="39" t="n">
        <v>0.25</v>
      </c>
      <c r="D14" s="38" t="s">
        <v>195</v>
      </c>
      <c r="E14" s="38"/>
      <c r="F14" s="38"/>
      <c r="G14" s="38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13" t="s">
        <v>196</v>
      </c>
      <c r="C15" s="40" t="n">
        <v>0.5</v>
      </c>
      <c r="D15" s="38" t="s">
        <v>197</v>
      </c>
      <c r="E15" s="38"/>
      <c r="F15" s="38"/>
      <c r="G15" s="38"/>
      <c r="H15" s="1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13" t="s">
        <v>198</v>
      </c>
      <c r="C16" s="40" t="n">
        <v>0.5</v>
      </c>
      <c r="D16" s="38" t="s">
        <v>199</v>
      </c>
      <c r="E16" s="38"/>
      <c r="F16" s="38"/>
      <c r="G16" s="38"/>
      <c r="H16" s="1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5" t="s">
        <v>200</v>
      </c>
      <c r="C17" s="41" t="n">
        <f aca="false">$C$8+$C$9+$C$10</f>
        <v>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4" t="s">
        <v>201</v>
      </c>
      <c r="C19" s="4"/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</row>
    <row r="20" customFormat="false" ht="30" hidden="false" customHeight="true" outlineLevel="0" collapsed="false">
      <c r="A20" s="1"/>
      <c r="B20" s="26" t="s">
        <v>119</v>
      </c>
      <c r="C20" s="26" t="s">
        <v>124</v>
      </c>
      <c r="D20" s="26"/>
      <c r="E20" s="26" t="s">
        <v>125</v>
      </c>
      <c r="F20" s="26"/>
      <c r="G20" s="26" t="s">
        <v>202</v>
      </c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5" t="s">
        <v>203</v>
      </c>
      <c r="C21" s="42" t="n">
        <f aca="false">ROUND((Setup!$C$26*Setup!$C$16*($C$6+MAX(Setup!$C$9-1,0)*$C$7)),0)</f>
        <v>45</v>
      </c>
      <c r="D21" s="27" t="s">
        <v>204</v>
      </c>
      <c r="E21" s="42" t="n">
        <f aca="false">C21</f>
        <v>45</v>
      </c>
      <c r="F21" s="27" t="s">
        <v>204</v>
      </c>
      <c r="G21" s="32" t="s">
        <v>205</v>
      </c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13" t="s">
        <v>109</v>
      </c>
      <c r="C22" s="42" t="n">
        <f aca="false">ROUNDUP((Setup!$C$26*Setup!$C$16*($C$6+MAX(Setup!$C$9-1,0)*$C$7))*$C$8/$C$11,0)</f>
        <v>5</v>
      </c>
      <c r="D22" s="27" t="s">
        <v>206</v>
      </c>
      <c r="E22" s="42" t="n">
        <f aca="false">C22</f>
        <v>5</v>
      </c>
      <c r="F22" s="27" t="s">
        <v>206</v>
      </c>
      <c r="G22" s="32" t="s">
        <v>207</v>
      </c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13" t="s">
        <v>208</v>
      </c>
      <c r="C23" s="42" t="n">
        <f aca="false">ROUNDUP((Setup!$C$26*Setup!$C$16*($C$6+MAX(Setup!$C$9-1,0)*$C$7))*$C$9,0)</f>
        <v>14</v>
      </c>
      <c r="D23" s="27" t="s">
        <v>206</v>
      </c>
      <c r="E23" s="42" t="n">
        <f aca="false">C23</f>
        <v>14</v>
      </c>
      <c r="F23" s="27" t="s">
        <v>206</v>
      </c>
      <c r="G23" s="32" t="s">
        <v>209</v>
      </c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13" t="s">
        <v>210</v>
      </c>
      <c r="C24" s="42" t="n">
        <f aca="false">ROUNDUP((Setup!$C$26*Setup!$C$16*($C$6+MAX(Setup!$C$9-1,0)*$C$7))*$C$10/$C$12,0)</f>
        <v>1</v>
      </c>
      <c r="D24" s="27" t="s">
        <v>206</v>
      </c>
      <c r="E24" s="42" t="n">
        <f aca="false">C24</f>
        <v>1</v>
      </c>
      <c r="F24" s="27" t="s">
        <v>206</v>
      </c>
      <c r="G24" s="32" t="s">
        <v>207</v>
      </c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13" t="s">
        <v>211</v>
      </c>
      <c r="C25" s="31" t="n">
        <f aca="false">ROUNDUP((Setup!$C$26*Setup!$C$16*($C$6+MAX(Setup!$C$9-1,0)*$C$7))*$C$10*$C$13,1)</f>
        <v>1.4</v>
      </c>
      <c r="D25" s="27" t="s">
        <v>212</v>
      </c>
      <c r="E25" s="31" t="n">
        <f aca="false">C25*1.0567</f>
        <v>1.47938</v>
      </c>
      <c r="F25" s="27" t="s">
        <v>213</v>
      </c>
      <c r="G25" s="32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13" t="s">
        <v>214</v>
      </c>
      <c r="C26" s="31" t="n">
        <f aca="false">ROUNDUP((Setup!$C$26*(1-Setup!$C$16)+Setup!$C$27)*($C$6+MAX(Setup!$C$9-1,0)*$C$7)*$C$14+Setup!$C$26*Setup!$C$16*$C$14,1)</f>
        <v>8.7</v>
      </c>
      <c r="D26" s="27" t="s">
        <v>212</v>
      </c>
      <c r="E26" s="31" t="n">
        <f aca="false">C26*1.0567</f>
        <v>9.19329</v>
      </c>
      <c r="F26" s="27" t="s">
        <v>213</v>
      </c>
      <c r="G26" s="32" t="s">
        <v>215</v>
      </c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13" t="s">
        <v>216</v>
      </c>
      <c r="C27" s="42" t="n">
        <f aca="false">ROUNDUP(C26/2,0)</f>
        <v>5</v>
      </c>
      <c r="D27" s="27" t="s">
        <v>206</v>
      </c>
      <c r="E27" s="42" t="n">
        <f aca="false">C27</f>
        <v>5</v>
      </c>
      <c r="F27" s="27" t="s">
        <v>206</v>
      </c>
      <c r="G27" s="32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13" t="s">
        <v>217</v>
      </c>
      <c r="C28" s="31" t="n">
        <f aca="false">ROUNDUP((Setup!$C$26+Setup!$C$27)*$C$15,1)</f>
        <v>6</v>
      </c>
      <c r="D28" s="27" t="s">
        <v>212</v>
      </c>
      <c r="E28" s="31" t="n">
        <f aca="false">C28*1.0567</f>
        <v>6.3402</v>
      </c>
      <c r="F28" s="27" t="s">
        <v>213</v>
      </c>
      <c r="G28" s="32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3" t="s">
        <v>218</v>
      </c>
      <c r="C29" s="31" t="n">
        <f aca="false">ROUNDUP((Setup!$C$26+Setup!$C$27)*$C$16,1)</f>
        <v>6</v>
      </c>
      <c r="D29" s="27" t="s">
        <v>175</v>
      </c>
      <c r="E29" s="31" t="n">
        <f aca="false">C29*2.2046</f>
        <v>13.2276</v>
      </c>
      <c r="F29" s="27" t="s">
        <v>176</v>
      </c>
      <c r="G29" s="32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17">
    <mergeCell ref="B2:G2"/>
    <mergeCell ref="B3:G3"/>
    <mergeCell ref="B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B19:G19"/>
    <mergeCell ref="C20:D20"/>
    <mergeCell ref="E20:F20"/>
  </mergeCells>
  <conditionalFormatting sqref="C17">
    <cfRule type="cellIs" priority="2" operator="not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219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220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5" t="s">
        <v>221</v>
      </c>
      <c r="C5" s="14" t="str">
        <f aca="false">Setup!$C$15</f>
        <v>Imperial (lb)</v>
      </c>
      <c r="D5" s="1"/>
      <c r="E5" s="5" t="s">
        <v>222</v>
      </c>
      <c r="F5" s="43" t="n">
        <f aca="false">COUNTIFS(H9:H56,"&lt;&gt;✓",D9:D56,"&gt;0")</f>
        <v>24</v>
      </c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5" t="s">
        <v>223</v>
      </c>
      <c r="C6" s="44" t="n">
        <f aca="false">SUM(G9:G56)</f>
        <v>308.393272102001</v>
      </c>
      <c r="D6" s="1"/>
      <c r="E6" s="5" t="s">
        <v>224</v>
      </c>
      <c r="F6" s="45" t="n">
        <f aca="false">COUNTIF(H9:H56,"✓")</f>
        <v>0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30" hidden="false" customHeight="true" outlineLevel="0" collapsed="false">
      <c r="A8" s="1"/>
      <c r="B8" s="26" t="s">
        <v>225</v>
      </c>
      <c r="C8" s="26" t="s">
        <v>119</v>
      </c>
      <c r="D8" s="26" t="s">
        <v>226</v>
      </c>
      <c r="E8" s="26" t="s">
        <v>122</v>
      </c>
      <c r="F8" s="26" t="s">
        <v>227</v>
      </c>
      <c r="G8" s="26" t="s">
        <v>228</v>
      </c>
      <c r="H8" s="26" t="s">
        <v>229</v>
      </c>
      <c r="I8" s="1"/>
      <c r="J8" s="1"/>
      <c r="K8" s="1"/>
      <c r="L8" s="1"/>
      <c r="M8" s="1"/>
      <c r="N8" s="1"/>
      <c r="O8" s="1"/>
    </row>
    <row r="9" customFormat="false" ht="15" hidden="false" customHeight="false" outlineLevel="0" collapsed="false">
      <c r="A9" s="1"/>
      <c r="B9" s="46" t="s">
        <v>26</v>
      </c>
      <c r="C9" s="13" t="str">
        <f aca="false">IF(Food!C9="","",Food!C9)</f>
        <v>Whole turkey (bone-in, raw weight)</v>
      </c>
      <c r="D9" s="31" t="n">
        <f aca="false">IF(Setup!$C$32=1,Food!H9,Food!J9)</f>
        <v>16.6721781305115</v>
      </c>
      <c r="E9" s="27" t="str">
        <f aca="false">IF(Setup!$C$32=1,Food!I9,Food!K9)</f>
        <v>lb</v>
      </c>
      <c r="F9" s="47" t="n">
        <v>1.99</v>
      </c>
      <c r="G9" s="48" t="n">
        <f aca="false">D9*F9</f>
        <v>33.1776344797178</v>
      </c>
      <c r="H9" s="16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46" t="s">
        <v>26</v>
      </c>
      <c r="C10" s="13" t="str">
        <f aca="false">IF(Food!C10="","",Food!C10)</f>
        <v>Ham (bone-in)</v>
      </c>
      <c r="D10" s="31" t="n">
        <f aca="false">IF(Setup!$C$32=1,Food!H10,Food!J10)</f>
        <v>0</v>
      </c>
      <c r="E10" s="27" t="str">
        <f aca="false">IF(Setup!$C$32=1,Food!I10,Food!K10)</f>
        <v>lb</v>
      </c>
      <c r="F10" s="47"/>
      <c r="G10" s="48" t="n">
        <f aca="false">D10*F10</f>
        <v>0</v>
      </c>
      <c r="H10" s="16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46" t="s">
        <v>26</v>
      </c>
      <c r="C11" s="13" t="str">
        <f aca="false">IF(Food!C11="","",Food!C11)</f>
        <v>Roast beef / prime rib (boneless)</v>
      </c>
      <c r="D11" s="31" t="n">
        <f aca="false">IF(Setup!$C$32=1,Food!H11,Food!J11)</f>
        <v>0</v>
      </c>
      <c r="E11" s="27" t="str">
        <f aca="false">IF(Setup!$C$32=1,Food!I11,Food!K11)</f>
        <v>lb</v>
      </c>
      <c r="F11" s="47"/>
      <c r="G11" s="48" t="n">
        <f aca="false">D11*F11</f>
        <v>0</v>
      </c>
      <c r="H11" s="16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46" t="s">
        <v>26</v>
      </c>
      <c r="C12" s="13" t="str">
        <f aca="false">IF(Food!C12="","",Food!C12)</f>
        <v>Whole chicken (raw)</v>
      </c>
      <c r="D12" s="31" t="n">
        <f aca="false">IF(Setup!$C$32=1,Food!H12,Food!J12)</f>
        <v>0</v>
      </c>
      <c r="E12" s="27" t="str">
        <f aca="false">IF(Setup!$C$32=1,Food!I12,Food!K12)</f>
        <v>lb</v>
      </c>
      <c r="F12" s="47"/>
      <c r="G12" s="48" t="n">
        <f aca="false">D12*F12</f>
        <v>0</v>
      </c>
      <c r="H12" s="16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46" t="s">
        <v>26</v>
      </c>
      <c r="C13" s="13" t="str">
        <f aca="false">IF(Food!C13="","",Food!C13)</f>
        <v>Salmon / fish fillet</v>
      </c>
      <c r="D13" s="31" t="n">
        <f aca="false">IF(Setup!$C$32=1,Food!H13,Food!J13)</f>
        <v>0</v>
      </c>
      <c r="E13" s="27" t="str">
        <f aca="false">IF(Setup!$C$32=1,Food!I13,Food!K13)</f>
        <v>lb</v>
      </c>
      <c r="F13" s="47"/>
      <c r="G13" s="48" t="n">
        <f aca="false">D13*F13</f>
        <v>0</v>
      </c>
      <c r="H13" s="16"/>
      <c r="I13" s="1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46" t="s">
        <v>26</v>
      </c>
      <c r="C14" s="13" t="str">
        <f aca="false">IF(Food!C14="","",Food!C14)</f>
        <v>Vegetarian main (e.g. nut roast)</v>
      </c>
      <c r="D14" s="31" t="n">
        <f aca="false">IF(Setup!$C$32=1,Food!H14,Food!J14)</f>
        <v>0</v>
      </c>
      <c r="E14" s="27" t="str">
        <f aca="false">IF(Setup!$C$32=1,Food!I14,Food!K14)</f>
        <v>lb</v>
      </c>
      <c r="F14" s="47"/>
      <c r="G14" s="48" t="n">
        <f aca="false">D14*F14</f>
        <v>0</v>
      </c>
      <c r="H14" s="16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46" t="s">
        <v>26</v>
      </c>
      <c r="C15" s="13" t="str">
        <f aca="false">IF(Food!C15="","",Food!C15)</f>
        <v>Potatoes (mashed or roasted, raw)</v>
      </c>
      <c r="D15" s="31" t="n">
        <f aca="false">IF(Setup!$C$32=1,Food!H15,Food!J15)</f>
        <v>6.0626102292769</v>
      </c>
      <c r="E15" s="27" t="str">
        <f aca="false">IF(Setup!$C$32=1,Food!I15,Food!K15)</f>
        <v>lb</v>
      </c>
      <c r="F15" s="47" t="n">
        <v>0.99</v>
      </c>
      <c r="G15" s="48" t="n">
        <f aca="false">D15*F15</f>
        <v>6.00198412698413</v>
      </c>
      <c r="H15" s="16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46" t="s">
        <v>26</v>
      </c>
      <c r="C16" s="13" t="str">
        <f aca="false">IF(Food!C16="","",Food!C16)</f>
        <v>Stuffing / dressing (bread cubes)</v>
      </c>
      <c r="D16" s="31" t="n">
        <f aca="false">IF(Setup!$C$32=1,Food!H16,Food!J16)</f>
        <v>1.81878306878307</v>
      </c>
      <c r="E16" s="27" t="str">
        <f aca="false">IF(Setup!$C$32=1,Food!I16,Food!K16)</f>
        <v>lb</v>
      </c>
      <c r="F16" s="47" t="n">
        <v>3.5</v>
      </c>
      <c r="G16" s="48" t="n">
        <f aca="false">D16*F16</f>
        <v>6.36574074074074</v>
      </c>
      <c r="H16" s="16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46" t="s">
        <v>26</v>
      </c>
      <c r="C17" s="13" t="str">
        <f aca="false">IF(Food!C17="","",Food!C17)</f>
        <v>Vegetable side #1 (green beans)</v>
      </c>
      <c r="D17" s="31" t="n">
        <f aca="false">IF(Setup!$C$32=1,Food!H17,Food!J17)</f>
        <v>3.63756613756614</v>
      </c>
      <c r="E17" s="27" t="str">
        <f aca="false">IF(Setup!$C$32=1,Food!I17,Food!K17)</f>
        <v>lb</v>
      </c>
      <c r="F17" s="47" t="n">
        <v>2.49</v>
      </c>
      <c r="G17" s="48" t="n">
        <f aca="false">D17*F17</f>
        <v>9.05753968253968</v>
      </c>
      <c r="H17" s="16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46" t="s">
        <v>26</v>
      </c>
      <c r="C18" s="13" t="str">
        <f aca="false">IF(Food!C18="","",Food!C18)</f>
        <v>Vegetable side #2 (Brussels sprouts / carrots)</v>
      </c>
      <c r="D18" s="31" t="n">
        <f aca="false">IF(Setup!$C$32=1,Food!H18,Food!J18)</f>
        <v>3.63756613756614</v>
      </c>
      <c r="E18" s="27" t="str">
        <f aca="false">IF(Setup!$C$32=1,Food!I18,Food!K18)</f>
        <v>lb</v>
      </c>
      <c r="F18" s="47" t="n">
        <v>3.49</v>
      </c>
      <c r="G18" s="48" t="n">
        <f aca="false">D18*F18</f>
        <v>12.6951058201058</v>
      </c>
      <c r="H18" s="16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46" t="s">
        <v>26</v>
      </c>
      <c r="C19" s="13" t="str">
        <f aca="false">IF(Food!C19="","",Food!C19)</f>
        <v>Sweet potatoes</v>
      </c>
      <c r="D19" s="31" t="n">
        <f aca="false">IF(Setup!$C$32=1,Food!H19,Food!J19)</f>
        <v>0</v>
      </c>
      <c r="E19" s="27" t="str">
        <f aca="false">IF(Setup!$C$32=1,Food!I19,Food!K19)</f>
        <v>lb</v>
      </c>
      <c r="F19" s="47"/>
      <c r="G19" s="48" t="n">
        <f aca="false">D19*F19</f>
        <v>0</v>
      </c>
      <c r="H19" s="16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46" t="s">
        <v>26</v>
      </c>
      <c r="C20" s="13" t="str">
        <f aca="false">IF(Food!C20="","",Food!C20)</f>
        <v>Mac &amp; cheese (dry pasta)</v>
      </c>
      <c r="D20" s="31" t="n">
        <f aca="false">IF(Setup!$C$32=1,Food!H20,Food!J20)</f>
        <v>0</v>
      </c>
      <c r="E20" s="27" t="str">
        <f aca="false">IF(Setup!$C$32=1,Food!I20,Food!K20)</f>
        <v>lb</v>
      </c>
      <c r="F20" s="47"/>
      <c r="G20" s="48" t="n">
        <f aca="false">D20*F20</f>
        <v>0</v>
      </c>
      <c r="H20" s="16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46" t="s">
        <v>26</v>
      </c>
      <c r="C21" s="13" t="str">
        <f aca="false">IF(Food!C21="","",Food!C21)</f>
        <v>Salad greens</v>
      </c>
      <c r="D21" s="31" t="n">
        <f aca="false">IF(Setup!$C$32=1,Food!H21,Food!J21)</f>
        <v>0</v>
      </c>
      <c r="E21" s="27" t="str">
        <f aca="false">IF(Setup!$C$32=1,Food!I21,Food!K21)</f>
        <v>lb</v>
      </c>
      <c r="F21" s="47"/>
      <c r="G21" s="48" t="n">
        <f aca="false">D21*F21</f>
        <v>0</v>
      </c>
      <c r="H21" s="16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46" t="s">
        <v>26</v>
      </c>
      <c r="C22" s="13" t="str">
        <f aca="false">IF(Food!C22="","",Food!C22)</f>
        <v>Gravy</v>
      </c>
      <c r="D22" s="31" t="n">
        <f aca="false">IF(Setup!$C$32=1,Food!H22,Food!J22)</f>
        <v>1.30758664412511</v>
      </c>
      <c r="E22" s="27" t="str">
        <f aca="false">IF(Setup!$C$32=1,Food!I22,Food!K22)</f>
        <v>qt</v>
      </c>
      <c r="F22" s="47" t="n">
        <v>2</v>
      </c>
      <c r="G22" s="48" t="n">
        <f aca="false">D22*F22</f>
        <v>2.61517328825021</v>
      </c>
      <c r="H22" s="16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46" t="s">
        <v>26</v>
      </c>
      <c r="C23" s="13" t="str">
        <f aca="false">IF(Food!C23="","",Food!C23)</f>
        <v>Cranberry sauce</v>
      </c>
      <c r="D23" s="31" t="n">
        <f aca="false">IF(Setup!$C$32=1,Food!H23,Food!J23)</f>
        <v>1.81878306878307</v>
      </c>
      <c r="E23" s="27" t="str">
        <f aca="false">IF(Setup!$C$32=1,Food!I23,Food!K23)</f>
        <v>lb</v>
      </c>
      <c r="F23" s="47" t="n">
        <v>3.99</v>
      </c>
      <c r="G23" s="48" t="n">
        <f aca="false">D23*F23</f>
        <v>7.25694444444444</v>
      </c>
      <c r="H23" s="16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46" t="s">
        <v>26</v>
      </c>
      <c r="C24" s="13" t="str">
        <f aca="false">IF(Food!C24="","",Food!C24)</f>
        <v>Dinner rolls</v>
      </c>
      <c r="D24" s="31" t="n">
        <f aca="false">IF(Setup!$C$32=1,Food!H24,Food!J24)</f>
        <v>21</v>
      </c>
      <c r="E24" s="27" t="str">
        <f aca="false">IF(Setup!$C$32=1,Food!I24,Food!K24)</f>
        <v>rolls</v>
      </c>
      <c r="F24" s="47" t="n">
        <v>0.5</v>
      </c>
      <c r="G24" s="48" t="n">
        <f aca="false">D24*F24</f>
        <v>10.5</v>
      </c>
      <c r="H24" s="16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46" t="s">
        <v>26</v>
      </c>
      <c r="C25" s="13" t="str">
        <f aca="false">IF(Food!C25="","",Food!C25)</f>
        <v>Cheese (for board)</v>
      </c>
      <c r="D25" s="31" t="n">
        <f aca="false">IF(Setup!$C$32=1,Food!H25,Food!J25)</f>
        <v>1.51565255731922</v>
      </c>
      <c r="E25" s="27" t="str">
        <f aca="false">IF(Setup!$C$32=1,Food!I25,Food!K25)</f>
        <v>lb</v>
      </c>
      <c r="F25" s="47" t="n">
        <v>9.99</v>
      </c>
      <c r="G25" s="48" t="n">
        <f aca="false">D25*F25</f>
        <v>15.141369047619</v>
      </c>
      <c r="H25" s="16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46" t="s">
        <v>26</v>
      </c>
      <c r="C26" s="13" t="str">
        <f aca="false">IF(Food!C26="","",Food!C26)</f>
        <v>Cured meats</v>
      </c>
      <c r="D26" s="31" t="n">
        <f aca="false">IF(Setup!$C$32=1,Food!H26,Food!J26)</f>
        <v>0</v>
      </c>
      <c r="E26" s="27" t="str">
        <f aca="false">IF(Setup!$C$32=1,Food!I26,Food!K26)</f>
        <v>lb</v>
      </c>
      <c r="F26" s="47"/>
      <c r="G26" s="48" t="n">
        <f aca="false">D26*F26</f>
        <v>0</v>
      </c>
      <c r="H26" s="16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46" t="s">
        <v>26</v>
      </c>
      <c r="C27" s="13" t="str">
        <f aca="false">IF(Food!C27="","",Food!C27)</f>
        <v>Crackers / baguette</v>
      </c>
      <c r="D27" s="31" t="n">
        <f aca="false">IF(Setup!$C$32=1,Food!H27,Food!J27)</f>
        <v>1.21252204585538</v>
      </c>
      <c r="E27" s="27" t="str">
        <f aca="false">IF(Setup!$C$32=1,Food!I27,Food!K27)</f>
        <v>lb</v>
      </c>
      <c r="F27" s="47" t="n">
        <v>4.99</v>
      </c>
      <c r="G27" s="48" t="n">
        <f aca="false">D27*F27</f>
        <v>6.05048500881834</v>
      </c>
      <c r="H27" s="16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46" t="s">
        <v>26</v>
      </c>
      <c r="C28" s="13" t="str">
        <f aca="false">IF(Food!C28="","",Food!C28)</f>
        <v>Dips + veggie sticks</v>
      </c>
      <c r="D28" s="31" t="n">
        <f aca="false">IF(Setup!$C$32=1,Food!H28,Food!J28)</f>
        <v>2.42504409171076</v>
      </c>
      <c r="E28" s="27" t="str">
        <f aca="false">IF(Setup!$C$32=1,Food!I28,Food!K28)</f>
        <v>lb</v>
      </c>
      <c r="F28" s="47" t="n">
        <v>4.99</v>
      </c>
      <c r="G28" s="48" t="n">
        <f aca="false">D28*F28</f>
        <v>12.1009700176367</v>
      </c>
      <c r="H28" s="16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46" t="s">
        <v>26</v>
      </c>
      <c r="C29" s="13" t="str">
        <f aca="false">IF(Food!C29="","",Food!C29)</f>
        <v>Nuts / olives / snacks</v>
      </c>
      <c r="D29" s="31" t="n">
        <f aca="false">IF(Setup!$C$32=1,Food!H29,Food!J29)</f>
        <v>0</v>
      </c>
      <c r="E29" s="27" t="str">
        <f aca="false">IF(Setup!$C$32=1,Food!I29,Food!K29)</f>
        <v>lb</v>
      </c>
      <c r="F29" s="47"/>
      <c r="G29" s="48" t="n">
        <f aca="false">D29*F29</f>
        <v>0</v>
      </c>
      <c r="H29" s="16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46" t="s">
        <v>26</v>
      </c>
      <c r="C30" s="13" t="str">
        <f aca="false">IF(Food!C30="","",Food!C30)</f>
        <v>Pies (8 slices each)</v>
      </c>
      <c r="D30" s="31" t="n">
        <f aca="false">IF(Setup!$C$32=1,Food!H30,Food!J30)</f>
        <v>3</v>
      </c>
      <c r="E30" s="27" t="str">
        <f aca="false">IF(Setup!$C$32=1,Food!I30,Food!K30)</f>
        <v>pies</v>
      </c>
      <c r="F30" s="47" t="n">
        <v>12.99</v>
      </c>
      <c r="G30" s="48" t="n">
        <f aca="false">D30*F30</f>
        <v>38.97</v>
      </c>
      <c r="H30" s="16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46" t="s">
        <v>26</v>
      </c>
      <c r="C31" s="13" t="str">
        <f aca="false">IF(Food!C31="","",Food!C31)</f>
        <v>Cake (12 slices)</v>
      </c>
      <c r="D31" s="31" t="n">
        <f aca="false">IF(Setup!$C$32=1,Food!H31,Food!J31)</f>
        <v>0</v>
      </c>
      <c r="E31" s="27" t="str">
        <f aca="false">IF(Setup!$C$32=1,Food!I31,Food!K31)</f>
        <v>cakes</v>
      </c>
      <c r="F31" s="47"/>
      <c r="G31" s="48" t="n">
        <f aca="false">D31*F31</f>
        <v>0</v>
      </c>
      <c r="H31" s="16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46" t="s">
        <v>26</v>
      </c>
      <c r="C32" s="13" t="str">
        <f aca="false">IF(Food!C32="","",Food!C32)</f>
        <v>Whipped cream / ice cream</v>
      </c>
      <c r="D32" s="31" t="n">
        <f aca="false">IF(Setup!$C$32=1,Food!H32,Food!J32)</f>
        <v>0.871724429416737</v>
      </c>
      <c r="E32" s="27" t="str">
        <f aca="false">IF(Setup!$C$32=1,Food!I32,Food!K32)</f>
        <v>qt</v>
      </c>
      <c r="F32" s="47" t="n">
        <v>5</v>
      </c>
      <c r="G32" s="48" t="n">
        <f aca="false">D32*F32</f>
        <v>4.35862214708369</v>
      </c>
      <c r="H32" s="16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46" t="s">
        <v>26</v>
      </c>
      <c r="C33" s="13" t="str">
        <f aca="false">IF(Food!C33="","",Food!C33)</f>
        <v>Coffee (ground)</v>
      </c>
      <c r="D33" s="31" t="n">
        <f aca="false">IF(Setup!$C$32=1,Food!H33,Food!J33)</f>
        <v>0.303130511463845</v>
      </c>
      <c r="E33" s="27" t="str">
        <f aca="false">IF(Setup!$C$32=1,Food!I33,Food!K33)</f>
        <v>lb</v>
      </c>
      <c r="F33" s="47" t="n">
        <v>8.99</v>
      </c>
      <c r="G33" s="48" t="n">
        <f aca="false">D33*F33</f>
        <v>2.72514329805997</v>
      </c>
      <c r="H33" s="16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46" t="s">
        <v>26</v>
      </c>
      <c r="C34" s="13" t="str">
        <f aca="false">IF(Food!C34="","",Food!C34)</f>
        <v/>
      </c>
      <c r="D34" s="31" t="n">
        <f aca="false">IF(Setup!$C$32=1,Food!H34,Food!J34)</f>
        <v>0</v>
      </c>
      <c r="E34" s="27" t="str">
        <f aca="false">IF(Setup!$C$32=1,Food!I34,Food!K34)</f>
        <v>lb</v>
      </c>
      <c r="F34" s="47"/>
      <c r="G34" s="48" t="n">
        <f aca="false">D34*F34</f>
        <v>0</v>
      </c>
      <c r="H34" s="16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46" t="s">
        <v>26</v>
      </c>
      <c r="C35" s="13" t="str">
        <f aca="false">IF(Food!C35="","",Food!C35)</f>
        <v/>
      </c>
      <c r="D35" s="31" t="n">
        <f aca="false">IF(Setup!$C$32=1,Food!H35,Food!J35)</f>
        <v>0</v>
      </c>
      <c r="E35" s="27" t="str">
        <f aca="false">IF(Setup!$C$32=1,Food!I35,Food!K35)</f>
        <v>lb</v>
      </c>
      <c r="F35" s="47"/>
      <c r="G35" s="48" t="n">
        <f aca="false">D35*F35</f>
        <v>0</v>
      </c>
      <c r="H35" s="16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46" t="s">
        <v>26</v>
      </c>
      <c r="C36" s="13" t="str">
        <f aca="false">IF(Food!C36="","",Food!C36)</f>
        <v/>
      </c>
      <c r="D36" s="31" t="n">
        <f aca="false">IF(Setup!$C$32=1,Food!H36,Food!J36)</f>
        <v>0</v>
      </c>
      <c r="E36" s="27" t="str">
        <f aca="false">IF(Setup!$C$32=1,Food!I36,Food!K36)</f>
        <v>lb</v>
      </c>
      <c r="F36" s="47"/>
      <c r="G36" s="48" t="n">
        <f aca="false">D36*F36</f>
        <v>0</v>
      </c>
      <c r="H36" s="16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46" t="s">
        <v>26</v>
      </c>
      <c r="C37" s="13" t="str">
        <f aca="false">IF(Food!C37="","",Food!C37)</f>
        <v/>
      </c>
      <c r="D37" s="31" t="n">
        <f aca="false">IF(Setup!$C$32=1,Food!H37,Food!J37)</f>
        <v>0</v>
      </c>
      <c r="E37" s="27" t="str">
        <f aca="false">IF(Setup!$C$32=1,Food!I37,Food!K37)</f>
        <v>lb</v>
      </c>
      <c r="F37" s="47"/>
      <c r="G37" s="48" t="n">
        <f aca="false">D37*F37</f>
        <v>0</v>
      </c>
      <c r="H37" s="16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49" t="s">
        <v>28</v>
      </c>
      <c r="C38" s="13" t="s">
        <v>109</v>
      </c>
      <c r="D38" s="31" t="n">
        <f aca="false">IF(Setup!$C$32=1,Drinks!C22,Drinks!E22)</f>
        <v>5</v>
      </c>
      <c r="E38" s="27" t="str">
        <f aca="false">IF(Setup!$C$32=1,Drinks!D22,Drinks!F22)</f>
        <v>bottles</v>
      </c>
      <c r="F38" s="47" t="n">
        <v>12</v>
      </c>
      <c r="G38" s="48" t="n">
        <f aca="false">D38*F38</f>
        <v>60</v>
      </c>
      <c r="H38" s="16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49" t="s">
        <v>28</v>
      </c>
      <c r="C39" s="13" t="s">
        <v>208</v>
      </c>
      <c r="D39" s="31" t="n">
        <f aca="false">IF(Setup!$C$32=1,Drinks!C23,Drinks!E23)</f>
        <v>14</v>
      </c>
      <c r="E39" s="27" t="str">
        <f aca="false">IF(Setup!$C$32=1,Drinks!D23,Drinks!F23)</f>
        <v>bottles</v>
      </c>
      <c r="F39" s="47" t="n">
        <v>1.5</v>
      </c>
      <c r="G39" s="48" t="n">
        <f aca="false">D39*F39</f>
        <v>21</v>
      </c>
      <c r="H39" s="16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49" t="s">
        <v>28</v>
      </c>
      <c r="C40" s="13" t="s">
        <v>210</v>
      </c>
      <c r="D40" s="31" t="n">
        <f aca="false">IF(Setup!$C$32=1,Drinks!C24,Drinks!E24)</f>
        <v>1</v>
      </c>
      <c r="E40" s="27" t="str">
        <f aca="false">IF(Setup!$C$32=1,Drinks!D24,Drinks!F24)</f>
        <v>bottles</v>
      </c>
      <c r="F40" s="47" t="n">
        <v>22</v>
      </c>
      <c r="G40" s="48" t="n">
        <f aca="false">D40*F40</f>
        <v>22</v>
      </c>
      <c r="H40" s="16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49" t="s">
        <v>28</v>
      </c>
      <c r="C41" s="13" t="s">
        <v>211</v>
      </c>
      <c r="D41" s="31" t="n">
        <f aca="false">IF(Setup!$C$32=1,Drinks!C25,Drinks!E25)</f>
        <v>1.47938</v>
      </c>
      <c r="E41" s="27" t="str">
        <f aca="false">IF(Setup!$C$32=1,Drinks!D25,Drinks!F25)</f>
        <v>qt</v>
      </c>
      <c r="F41" s="47"/>
      <c r="G41" s="48" t="n">
        <f aca="false">D41*F41</f>
        <v>0</v>
      </c>
      <c r="H41" s="16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49" t="s">
        <v>28</v>
      </c>
      <c r="C42" s="13" t="s">
        <v>230</v>
      </c>
      <c r="D42" s="31" t="n">
        <f aca="false">IF(Setup!$C$32=1,Drinks!C27,Drinks!E27)</f>
        <v>5</v>
      </c>
      <c r="E42" s="27" t="str">
        <f aca="false">IF(Setup!$C$32=1,Drinks!D27,Drinks!F27)</f>
        <v>bottles</v>
      </c>
      <c r="F42" s="47" t="n">
        <v>2.29</v>
      </c>
      <c r="G42" s="48" t="n">
        <f aca="false">D42*F42</f>
        <v>11.45</v>
      </c>
      <c r="H42" s="16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49" t="s">
        <v>28</v>
      </c>
      <c r="C43" s="13" t="s">
        <v>217</v>
      </c>
      <c r="D43" s="31" t="n">
        <f aca="false">IF(Setup!$C$32=1,Drinks!C28,Drinks!E28)</f>
        <v>6.3402</v>
      </c>
      <c r="E43" s="27" t="str">
        <f aca="false">IF(Setup!$C$32=1,Drinks!D28,Drinks!F28)</f>
        <v>qt</v>
      </c>
      <c r="F43" s="47"/>
      <c r="G43" s="48" t="n">
        <f aca="false">D43*F43</f>
        <v>0</v>
      </c>
      <c r="H43" s="16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49" t="s">
        <v>28</v>
      </c>
      <c r="C44" s="13" t="s">
        <v>218</v>
      </c>
      <c r="D44" s="31" t="n">
        <f aca="false">IF(Setup!$C$32=1,Drinks!C29,Drinks!E29)</f>
        <v>13.2276</v>
      </c>
      <c r="E44" s="27" t="str">
        <f aca="false">IF(Setup!$C$32=1,Drinks!D29,Drinks!F29)</f>
        <v>lb</v>
      </c>
      <c r="F44" s="47" t="n">
        <v>0.6</v>
      </c>
      <c r="G44" s="48" t="n">
        <f aca="false">D44*F44</f>
        <v>7.93656</v>
      </c>
      <c r="H44" s="16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6" t="s">
        <v>231</v>
      </c>
      <c r="C45" s="11" t="s">
        <v>232</v>
      </c>
      <c r="D45" s="50" t="n">
        <v>2</v>
      </c>
      <c r="E45" s="16" t="s">
        <v>176</v>
      </c>
      <c r="F45" s="47" t="n">
        <v>4.5</v>
      </c>
      <c r="G45" s="48" t="n">
        <f aca="false">IF(D45="",0,D45*F45)</f>
        <v>9</v>
      </c>
      <c r="H45" s="16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6" t="s">
        <v>231</v>
      </c>
      <c r="C46" s="11" t="s">
        <v>233</v>
      </c>
      <c r="D46" s="50" t="n">
        <v>1</v>
      </c>
      <c r="E46" s="16" t="s">
        <v>213</v>
      </c>
      <c r="F46" s="47" t="n">
        <v>5.99</v>
      </c>
      <c r="G46" s="48" t="n">
        <f aca="false">IF(D46="",0,D46*F46)</f>
        <v>5.99</v>
      </c>
      <c r="H46" s="16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6" t="s">
        <v>231</v>
      </c>
      <c r="C47" s="11" t="s">
        <v>234</v>
      </c>
      <c r="D47" s="50" t="n">
        <v>1</v>
      </c>
      <c r="E47" s="16" t="s">
        <v>235</v>
      </c>
      <c r="F47" s="47" t="n">
        <v>4</v>
      </c>
      <c r="G47" s="48" t="n">
        <f aca="false">IF(D47="",0,D47*F47)</f>
        <v>4</v>
      </c>
      <c r="H47" s="16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6" t="s">
        <v>231</v>
      </c>
      <c r="C48" s="11"/>
      <c r="D48" s="50"/>
      <c r="E48" s="16"/>
      <c r="F48" s="47"/>
      <c r="G48" s="48" t="n">
        <f aca="false">IF(D48="",0,D48*F48)</f>
        <v>0</v>
      </c>
      <c r="H48" s="16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6" t="s">
        <v>231</v>
      </c>
      <c r="C49" s="11"/>
      <c r="D49" s="50"/>
      <c r="E49" s="16"/>
      <c r="F49" s="47"/>
      <c r="G49" s="48" t="n">
        <f aca="false">IF(D49="",0,D49*F49)</f>
        <v>0</v>
      </c>
      <c r="H49" s="16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6" t="s">
        <v>231</v>
      </c>
      <c r="C50" s="11"/>
      <c r="D50" s="50"/>
      <c r="E50" s="16"/>
      <c r="F50" s="47"/>
      <c r="G50" s="48" t="n">
        <f aca="false">IF(D50="",0,D50*F50)</f>
        <v>0</v>
      </c>
      <c r="H50" s="16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6" t="s">
        <v>231</v>
      </c>
      <c r="C51" s="11"/>
      <c r="D51" s="50"/>
      <c r="E51" s="16"/>
      <c r="F51" s="47"/>
      <c r="G51" s="48" t="n">
        <f aca="false">IF(D51="",0,D51*F51)</f>
        <v>0</v>
      </c>
      <c r="H51" s="16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6" t="s">
        <v>231</v>
      </c>
      <c r="C52" s="11"/>
      <c r="D52" s="50"/>
      <c r="E52" s="16"/>
      <c r="F52" s="47"/>
      <c r="G52" s="48" t="n">
        <f aca="false">IF(D52="",0,D52*F52)</f>
        <v>0</v>
      </c>
      <c r="H52" s="16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6" t="s">
        <v>231</v>
      </c>
      <c r="C53" s="11"/>
      <c r="D53" s="50"/>
      <c r="E53" s="16"/>
      <c r="F53" s="47"/>
      <c r="G53" s="48" t="n">
        <f aca="false">IF(D53="",0,D53*F53)</f>
        <v>0</v>
      </c>
      <c r="H53" s="16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6" t="s">
        <v>231</v>
      </c>
      <c r="C54" s="11"/>
      <c r="D54" s="50"/>
      <c r="E54" s="16"/>
      <c r="F54" s="47"/>
      <c r="G54" s="48" t="n">
        <f aca="false">IF(D54="",0,D54*F54)</f>
        <v>0</v>
      </c>
      <c r="H54" s="16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6" t="s">
        <v>231</v>
      </c>
      <c r="C55" s="11"/>
      <c r="D55" s="50"/>
      <c r="E55" s="16"/>
      <c r="F55" s="47"/>
      <c r="G55" s="48" t="n">
        <f aca="false">IF(D55="",0,D55*F55)</f>
        <v>0</v>
      </c>
      <c r="H55" s="16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6" t="s">
        <v>231</v>
      </c>
      <c r="C56" s="11"/>
      <c r="D56" s="50"/>
      <c r="E56" s="16"/>
      <c r="F56" s="47"/>
      <c r="G56" s="48" t="n">
        <f aca="false">IF(D56="",0,D56*F56)</f>
        <v>0</v>
      </c>
      <c r="H56" s="16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37" t="s">
        <v>236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2">
    <mergeCell ref="B2:H2"/>
    <mergeCell ref="B3:H3"/>
  </mergeCells>
  <conditionalFormatting sqref="B9:H56">
    <cfRule type="expression" priority="2" aboveAverage="0" equalAverage="0" bottom="0" percent="0" rank="0" text="" dxfId="4">
      <formula>$H9="✓"</formula>
    </cfRule>
    <cfRule type="expression" priority="3" aboveAverage="0" equalAverage="0" bottom="0" percent="0" rank="0" text="" dxfId="5">
      <formula>AND($C9&lt;&gt;"",$D9=0)</formula>
    </cfRule>
  </conditionalFormatting>
  <dataValidations count="2">
    <dataValidation allowBlank="true" errorStyle="stop" operator="between" showDropDown="false" showErrorMessage="false" showInputMessage="false" sqref="H9:H56" type="list">
      <formula1>"✓"</formula1>
      <formula2>0</formula2>
    </dataValidation>
    <dataValidation allowBlank="true" errorStyle="stop" operator="between" showDropDown="false" showErrorMessage="false" showInputMessage="false" sqref="B45:B56" type="list">
      <formula1>"Food,Drinks,Other,Decor,Tableware"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32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237</v>
      </c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0" hidden="false" customHeight="true" outlineLevel="0" collapsed="false">
      <c r="A5" s="1"/>
      <c r="B5" s="26" t="s">
        <v>225</v>
      </c>
      <c r="C5" s="26" t="s">
        <v>238</v>
      </c>
      <c r="D5" s="26" t="s">
        <v>239</v>
      </c>
      <c r="E5" s="26" t="s">
        <v>240</v>
      </c>
      <c r="F5" s="26" t="s">
        <v>241</v>
      </c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5" t="s">
        <v>26</v>
      </c>
      <c r="C6" s="48" t="n">
        <f aca="false">SUMIF(Shopping!$B$9:$B$56,"Food",Shopping!$G$9:$G$56)</f>
        <v>167.016712102001</v>
      </c>
      <c r="D6" s="47"/>
      <c r="E6" s="48" t="str">
        <f aca="false">IF(D6="","",C6-D6)</f>
        <v/>
      </c>
      <c r="F6" s="32" t="s">
        <v>242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5" t="s">
        <v>28</v>
      </c>
      <c r="C7" s="48" t="n">
        <f aca="false">SUMIF(Shopping!$B$9:$B$56,"Drinks",Shopping!$G$9:$G$56)</f>
        <v>122.38656</v>
      </c>
      <c r="D7" s="47"/>
      <c r="E7" s="48" t="str">
        <f aca="false">IF(D7="","",C7-D7)</f>
        <v/>
      </c>
      <c r="F7" s="32" t="s">
        <v>242</v>
      </c>
      <c r="G7" s="1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/>
      <c r="B8" s="5" t="s">
        <v>243</v>
      </c>
      <c r="C8" s="48" t="n">
        <f aca="false">SUMIF(Shopping!$B$9:$B$56,"Other",Shopping!$G$9:$G$56)</f>
        <v>18.99</v>
      </c>
      <c r="D8" s="47"/>
      <c r="E8" s="48" t="str">
        <f aca="false">IF(D8="","",C8-D8)</f>
        <v/>
      </c>
      <c r="F8" s="32" t="s">
        <v>242</v>
      </c>
      <c r="G8" s="1"/>
      <c r="H8" s="1"/>
      <c r="I8" s="1"/>
      <c r="J8" s="1"/>
      <c r="K8" s="1"/>
      <c r="L8" s="1"/>
      <c r="M8" s="1"/>
      <c r="N8" s="1"/>
      <c r="O8" s="1"/>
    </row>
    <row r="9" customFormat="false" ht="15" hidden="false" customHeight="false" outlineLevel="0" collapsed="false">
      <c r="A9" s="1"/>
      <c r="B9" s="5" t="s">
        <v>244</v>
      </c>
      <c r="C9" s="47" t="n">
        <v>40</v>
      </c>
      <c r="D9" s="47"/>
      <c r="E9" s="48" t="str">
        <f aca="false">IF(D9="","",C9-D9)</f>
        <v/>
      </c>
      <c r="F9" s="32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5" t="s">
        <v>245</v>
      </c>
      <c r="C10" s="47" t="n">
        <v>30</v>
      </c>
      <c r="D10" s="47"/>
      <c r="E10" s="48" t="str">
        <f aca="false">IF(D10="","",C10-D10)</f>
        <v/>
      </c>
      <c r="F10" s="32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5" t="s">
        <v>246</v>
      </c>
      <c r="C11" s="47" t="n">
        <v>0</v>
      </c>
      <c r="D11" s="47"/>
      <c r="E11" s="48" t="str">
        <f aca="false">IF(D11="","",C11-D11)</f>
        <v/>
      </c>
      <c r="F11" s="32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5" t="s">
        <v>247</v>
      </c>
      <c r="C12" s="47" t="n">
        <v>25</v>
      </c>
      <c r="D12" s="47"/>
      <c r="E12" s="48" t="str">
        <f aca="false">IF(D12="","",C12-D12)</f>
        <v/>
      </c>
      <c r="F12" s="32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14" t="s">
        <v>248</v>
      </c>
      <c r="C13" s="51" t="n">
        <f aca="false">SUM(C6:C12)</f>
        <v>403.393272102001</v>
      </c>
      <c r="D13" s="51" t="n">
        <f aca="false">SUM(D6:D12)</f>
        <v>0</v>
      </c>
      <c r="E13" s="51" t="str">
        <f aca="false">IF(D13=0,"",C13-D13)</f>
        <v/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4" t="s">
        <v>88</v>
      </c>
      <c r="C15" s="4"/>
      <c r="D15" s="4"/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5" t="s">
        <v>249</v>
      </c>
      <c r="C16" s="51" t="n">
        <f aca="false">Setup!$C$17</f>
        <v>600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5" t="s">
        <v>250</v>
      </c>
      <c r="C17" s="51" t="n">
        <f aca="false">C13</f>
        <v>403.393272102001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5" t="s">
        <v>251</v>
      </c>
      <c r="C18" s="51" t="n">
        <f aca="false">C16-C17</f>
        <v>196.606727897999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5" t="s">
        <v>252</v>
      </c>
      <c r="C19" s="51" t="n">
        <f aca="false">IF(Setup!$C$28=0,0,C17/Setup!$C$28)</f>
        <v>33.6161060085001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5" t="s">
        <v>253</v>
      </c>
      <c r="C20" s="51" t="n">
        <f aca="false">D13</f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3">
    <mergeCell ref="B2:F2"/>
    <mergeCell ref="B3:F3"/>
    <mergeCell ref="B15:F15"/>
  </mergeCells>
  <conditionalFormatting sqref="C18">
    <cfRule type="cellIs" priority="2" operator="lessThan" aboveAverage="0" equalAverage="0" bottom="0" percent="0" rank="0" text="" dxfId="3">
      <formula>0</formula>
    </cfRule>
    <cfRule type="cellIs" priority="3" operator="greaterThanOrEqual" aboveAverage="0" equalAverage="0" bottom="0" percent="0" rank="0" text="" dxfId="6">
      <formula>0</formula>
    </cfRule>
  </conditionalFormatting>
  <conditionalFormatting sqref="E6:E13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254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255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5" t="s">
        <v>45</v>
      </c>
      <c r="C5" s="9" t="n">
        <f aca="false">Setup!$C$8</f>
        <v>0.708333333333333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5" t="s">
        <v>256</v>
      </c>
      <c r="C6" s="31" t="n">
        <f aca="false">Food!$J$9</f>
        <v>16.6721781305115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30" hidden="false" customHeight="true" outlineLevel="0" collapsed="false">
      <c r="A8" s="1"/>
      <c r="B8" s="26" t="s">
        <v>257</v>
      </c>
      <c r="C8" s="26" t="s">
        <v>258</v>
      </c>
      <c r="D8" s="26" t="s">
        <v>259</v>
      </c>
      <c r="E8" s="26" t="s">
        <v>260</v>
      </c>
      <c r="F8" s="26" t="s">
        <v>261</v>
      </c>
      <c r="G8" s="26" t="s">
        <v>262</v>
      </c>
      <c r="H8" s="26" t="s">
        <v>263</v>
      </c>
      <c r="I8" s="26" t="s">
        <v>264</v>
      </c>
      <c r="J8" s="26" t="s">
        <v>241</v>
      </c>
      <c r="K8" s="1"/>
      <c r="L8" s="1"/>
      <c r="M8" s="1"/>
      <c r="N8" s="1"/>
      <c r="O8" s="1"/>
    </row>
    <row r="9" customFormat="false" ht="25.5" hidden="false" customHeight="true" outlineLevel="0" collapsed="false">
      <c r="A9" s="1"/>
      <c r="B9" s="11" t="s">
        <v>104</v>
      </c>
      <c r="C9" s="16" t="s">
        <v>265</v>
      </c>
      <c r="D9" s="16" t="n">
        <v>30</v>
      </c>
      <c r="E9" s="52" t="n">
        <f aca="false">ROUND(Food!$J$9*15,0)</f>
        <v>250</v>
      </c>
      <c r="F9" s="16" t="n">
        <v>40</v>
      </c>
      <c r="G9" s="53" t="n">
        <f aca="false">IF(B9="","",MOD($C$5-(D9+E9+F9)/1440,1))</f>
        <v>0.486111111111111</v>
      </c>
      <c r="H9" s="9" t="n">
        <f aca="false">IF(OR(B9="",E9=0),"",MOD($C$5-(E9+F9)/1440,1))</f>
        <v>0.506944444444444</v>
      </c>
      <c r="I9" s="54" t="n">
        <f aca="false">IF(OR(B9="",E9=0),"",MOD($C$5-F9/1440,1))</f>
        <v>0.680555555555556</v>
      </c>
      <c r="J9" s="55" t="s">
        <v>266</v>
      </c>
      <c r="K9" s="1"/>
      <c r="L9" s="1"/>
      <c r="M9" s="1"/>
      <c r="N9" s="1"/>
      <c r="O9" s="1"/>
    </row>
    <row r="10" customFormat="false" ht="25.5" hidden="false" customHeight="true" outlineLevel="0" collapsed="false">
      <c r="A10" s="1"/>
      <c r="B10" s="11" t="s">
        <v>267</v>
      </c>
      <c r="C10" s="16" t="s">
        <v>265</v>
      </c>
      <c r="D10" s="16" t="n">
        <v>20</v>
      </c>
      <c r="E10" s="20" t="n">
        <v>45</v>
      </c>
      <c r="F10" s="16" t="n">
        <v>10</v>
      </c>
      <c r="G10" s="53" t="n">
        <f aca="false">IF(B10="","",MOD($C$5-(D10+E10+F10)/1440,1))</f>
        <v>0.65625</v>
      </c>
      <c r="H10" s="9" t="n">
        <f aca="false">IF(OR(B10="",E10=0),"",MOD($C$5-(E10+F10)/1440,1))</f>
        <v>0.670138888888889</v>
      </c>
      <c r="I10" s="54" t="n">
        <f aca="false">IF(OR(B10="",E10=0),"",MOD($C$5-F10/1440,1))</f>
        <v>0.701388888888889</v>
      </c>
      <c r="J10" s="55" t="s">
        <v>268</v>
      </c>
      <c r="K10" s="1"/>
      <c r="L10" s="1"/>
      <c r="M10" s="1"/>
      <c r="N10" s="1"/>
      <c r="O10" s="1"/>
    </row>
    <row r="11" customFormat="false" ht="25.5" hidden="false" customHeight="true" outlineLevel="0" collapsed="false">
      <c r="A11" s="1"/>
      <c r="B11" s="11" t="s">
        <v>269</v>
      </c>
      <c r="C11" s="16" t="s">
        <v>265</v>
      </c>
      <c r="D11" s="16" t="n">
        <v>20</v>
      </c>
      <c r="E11" s="20" t="n">
        <v>35</v>
      </c>
      <c r="F11" s="16" t="n">
        <v>5</v>
      </c>
      <c r="G11" s="53" t="n">
        <f aca="false">IF(B11="","",MOD($C$5-(D11+E11+F11)/1440,1))</f>
        <v>0.666666666666667</v>
      </c>
      <c r="H11" s="9" t="n">
        <f aca="false">IF(OR(B11="",E11=0),"",MOD($C$5-(E11+F11)/1440,1))</f>
        <v>0.680555555555556</v>
      </c>
      <c r="I11" s="54" t="n">
        <f aca="false">IF(OR(B11="",E11=0),"",MOD($C$5-F11/1440,1))</f>
        <v>0.704861111111111</v>
      </c>
      <c r="J11" s="55"/>
      <c r="K11" s="1"/>
      <c r="L11" s="1"/>
      <c r="M11" s="1"/>
      <c r="N11" s="1"/>
      <c r="O11" s="1"/>
    </row>
    <row r="12" customFormat="false" ht="25.5" hidden="false" customHeight="true" outlineLevel="0" collapsed="false">
      <c r="A12" s="1"/>
      <c r="B12" s="11" t="s">
        <v>270</v>
      </c>
      <c r="C12" s="16" t="s">
        <v>265</v>
      </c>
      <c r="D12" s="16" t="n">
        <v>15</v>
      </c>
      <c r="E12" s="20" t="n">
        <v>30</v>
      </c>
      <c r="F12" s="16" t="n">
        <v>5</v>
      </c>
      <c r="G12" s="53" t="n">
        <f aca="false">IF(B12="","",MOD($C$5-(D12+E12+F12)/1440,1))</f>
        <v>0.673611111111111</v>
      </c>
      <c r="H12" s="9" t="n">
        <f aca="false">IF(OR(B12="",E12=0),"",MOD($C$5-(E12+F12)/1440,1))</f>
        <v>0.684027777777778</v>
      </c>
      <c r="I12" s="54" t="n">
        <f aca="false">IF(OR(B12="",E12=0),"",MOD($C$5-F12/1440,1))</f>
        <v>0.704861111111111</v>
      </c>
      <c r="J12" s="55"/>
      <c r="K12" s="1"/>
      <c r="L12" s="1"/>
      <c r="M12" s="1"/>
      <c r="N12" s="1"/>
      <c r="O12" s="1"/>
    </row>
    <row r="13" customFormat="false" ht="25.5" hidden="false" customHeight="true" outlineLevel="0" collapsed="false">
      <c r="A13" s="1"/>
      <c r="B13" s="11" t="s">
        <v>271</v>
      </c>
      <c r="C13" s="16" t="s">
        <v>272</v>
      </c>
      <c r="D13" s="16" t="n">
        <v>20</v>
      </c>
      <c r="E13" s="20" t="n">
        <v>25</v>
      </c>
      <c r="F13" s="16" t="n">
        <v>0</v>
      </c>
      <c r="G13" s="53" t="n">
        <f aca="false">IF(B13="","",MOD($C$5-(D13+E13+F13)/1440,1))</f>
        <v>0.677083333333333</v>
      </c>
      <c r="H13" s="9" t="n">
        <f aca="false">IF(OR(B13="",E13=0),"",MOD($C$5-(E13+F13)/1440,1))</f>
        <v>0.690972222222222</v>
      </c>
      <c r="I13" s="54" t="n">
        <f aca="false">IF(OR(B13="",E13=0),"",MOD($C$5-F13/1440,1))</f>
        <v>0.708333333333333</v>
      </c>
      <c r="J13" s="55" t="s">
        <v>273</v>
      </c>
      <c r="K13" s="1"/>
      <c r="L13" s="1"/>
      <c r="M13" s="1"/>
      <c r="N13" s="1"/>
      <c r="O13" s="1"/>
    </row>
    <row r="14" customFormat="false" ht="25.5" hidden="false" customHeight="true" outlineLevel="0" collapsed="false">
      <c r="A14" s="1"/>
      <c r="B14" s="11" t="s">
        <v>274</v>
      </c>
      <c r="C14" s="16" t="s">
        <v>272</v>
      </c>
      <c r="D14" s="16" t="n">
        <v>10</v>
      </c>
      <c r="E14" s="20" t="n">
        <v>12</v>
      </c>
      <c r="F14" s="16" t="n">
        <v>0</v>
      </c>
      <c r="G14" s="53" t="n">
        <f aca="false">IF(B14="","",MOD($C$5-(D14+E14+F14)/1440,1))</f>
        <v>0.693055555555556</v>
      </c>
      <c r="H14" s="9" t="n">
        <f aca="false">IF(OR(B14="",E14=0),"",MOD($C$5-(E14+F14)/1440,1))</f>
        <v>0.7</v>
      </c>
      <c r="I14" s="54" t="n">
        <f aca="false">IF(OR(B14="",E14=0),"",MOD($C$5-F14/1440,1))</f>
        <v>0.708333333333333</v>
      </c>
      <c r="J14" s="55"/>
      <c r="K14" s="1"/>
      <c r="L14" s="1"/>
      <c r="M14" s="1"/>
      <c r="N14" s="1"/>
      <c r="O14" s="1"/>
    </row>
    <row r="15" customFormat="false" ht="25.5" hidden="false" customHeight="true" outlineLevel="0" collapsed="false">
      <c r="A15" s="1"/>
      <c r="B15" s="11" t="s">
        <v>150</v>
      </c>
      <c r="C15" s="16" t="s">
        <v>272</v>
      </c>
      <c r="D15" s="16" t="n">
        <v>5</v>
      </c>
      <c r="E15" s="20" t="n">
        <v>15</v>
      </c>
      <c r="F15" s="16" t="n">
        <v>0</v>
      </c>
      <c r="G15" s="53" t="n">
        <f aca="false">IF(B15="","",MOD($C$5-(D15+E15+F15)/1440,1))</f>
        <v>0.694444444444445</v>
      </c>
      <c r="H15" s="9" t="n">
        <f aca="false">IF(OR(B15="",E15=0),"",MOD($C$5-(E15+F15)/1440,1))</f>
        <v>0.697916666666667</v>
      </c>
      <c r="I15" s="54" t="n">
        <f aca="false">IF(OR(B15="",E15=0),"",MOD($C$5-F15/1440,1))</f>
        <v>0.708333333333333</v>
      </c>
      <c r="J15" s="55" t="s">
        <v>275</v>
      </c>
      <c r="K15" s="1"/>
      <c r="L15" s="1"/>
      <c r="M15" s="1"/>
      <c r="N15" s="1"/>
      <c r="O15" s="1"/>
    </row>
    <row r="16" customFormat="false" ht="25.5" hidden="false" customHeight="true" outlineLevel="0" collapsed="false">
      <c r="A16" s="1"/>
      <c r="B16" s="11" t="s">
        <v>154</v>
      </c>
      <c r="C16" s="16" t="s">
        <v>265</v>
      </c>
      <c r="D16" s="16" t="n">
        <v>5</v>
      </c>
      <c r="E16" s="20" t="n">
        <v>12</v>
      </c>
      <c r="F16" s="16" t="n">
        <v>0</v>
      </c>
      <c r="G16" s="53" t="n">
        <f aca="false">IF(B16="","",MOD($C$5-(D16+E16+F16)/1440,1))</f>
        <v>0.696527777777778</v>
      </c>
      <c r="H16" s="9" t="n">
        <f aca="false">IF(OR(B16="",E16=0),"",MOD($C$5-(E16+F16)/1440,1))</f>
        <v>0.7</v>
      </c>
      <c r="I16" s="54" t="n">
        <f aca="false">IF(OR(B16="",E16=0),"",MOD($C$5-F16/1440,1))</f>
        <v>0.708333333333333</v>
      </c>
      <c r="J16" s="55" t="s">
        <v>276</v>
      </c>
      <c r="K16" s="1"/>
      <c r="L16" s="1"/>
      <c r="M16" s="1"/>
      <c r="N16" s="1"/>
      <c r="O16" s="1"/>
    </row>
    <row r="17" customFormat="false" ht="25.5" hidden="false" customHeight="true" outlineLevel="0" collapsed="false">
      <c r="A17" s="1"/>
      <c r="B17" s="11" t="s">
        <v>277</v>
      </c>
      <c r="C17" s="16" t="s">
        <v>278</v>
      </c>
      <c r="D17" s="16" t="n">
        <v>25</v>
      </c>
      <c r="E17" s="20" t="n">
        <v>0</v>
      </c>
      <c r="F17" s="16" t="n">
        <v>90</v>
      </c>
      <c r="G17" s="53" t="n">
        <f aca="false">IF(B17="","",MOD($C$5-(D17+E17+F17)/1440,1))</f>
        <v>0.628472222222222</v>
      </c>
      <c r="H17" s="9" t="str">
        <f aca="false">IF(OR(B17="",E17=0),"",MOD($C$5-(E17+F17)/1440,1))</f>
        <v/>
      </c>
      <c r="I17" s="54" t="str">
        <f aca="false">IF(OR(B17="",E17=0),"",MOD($C$5-F17/1440,1))</f>
        <v/>
      </c>
      <c r="J17" s="55" t="s">
        <v>279</v>
      </c>
      <c r="K17" s="1"/>
      <c r="L17" s="1"/>
      <c r="M17" s="1"/>
      <c r="N17" s="1"/>
      <c r="O17" s="1"/>
    </row>
    <row r="18" customFormat="false" ht="25.5" hidden="false" customHeight="true" outlineLevel="0" collapsed="false">
      <c r="A18" s="1"/>
      <c r="B18" s="11" t="s">
        <v>280</v>
      </c>
      <c r="C18" s="16" t="s">
        <v>265</v>
      </c>
      <c r="D18" s="16" t="n">
        <v>30</v>
      </c>
      <c r="E18" s="20" t="n">
        <v>55</v>
      </c>
      <c r="F18" s="16" t="n">
        <v>240</v>
      </c>
      <c r="G18" s="53" t="n">
        <f aca="false">IF(B18="","",MOD($C$5-(D18+E18+F18)/1440,1))</f>
        <v>0.482638888888889</v>
      </c>
      <c r="H18" s="9" t="n">
        <f aca="false">IF(OR(B18="",E18=0),"",MOD($C$5-(E18+F18)/1440,1))</f>
        <v>0.503472222222222</v>
      </c>
      <c r="I18" s="54" t="n">
        <f aca="false">IF(OR(B18="",E18=0),"",MOD($C$5-F18/1440,1))</f>
        <v>0.541666666666667</v>
      </c>
      <c r="J18" s="55" t="s">
        <v>281</v>
      </c>
      <c r="K18" s="1"/>
      <c r="L18" s="1"/>
      <c r="M18" s="1"/>
      <c r="N18" s="1"/>
      <c r="O18" s="1"/>
    </row>
    <row r="19" customFormat="false" ht="25.5" hidden="false" customHeight="true" outlineLevel="0" collapsed="false">
      <c r="A19" s="1"/>
      <c r="B19" s="11"/>
      <c r="C19" s="16"/>
      <c r="D19" s="16"/>
      <c r="E19" s="20"/>
      <c r="F19" s="16"/>
      <c r="G19" s="53" t="str">
        <f aca="false">IF(B19="","",MOD($C$5-(D19+E19+F19)/1440,1))</f>
        <v/>
      </c>
      <c r="H19" s="9" t="str">
        <f aca="false">IF(OR(B19="",E19=0),"",MOD($C$5-(E19+F19)/1440,1))</f>
        <v/>
      </c>
      <c r="I19" s="54" t="str">
        <f aca="false">IF(OR(B19="",E19=0),"",MOD($C$5-F19/1440,1))</f>
        <v/>
      </c>
      <c r="J19" s="55"/>
      <c r="K19" s="1"/>
      <c r="L19" s="1"/>
      <c r="M19" s="1"/>
      <c r="N19" s="1"/>
      <c r="O19" s="1"/>
    </row>
    <row r="20" customFormat="false" ht="25.5" hidden="false" customHeight="true" outlineLevel="0" collapsed="false">
      <c r="A20" s="1"/>
      <c r="B20" s="11"/>
      <c r="C20" s="16"/>
      <c r="D20" s="16"/>
      <c r="E20" s="20"/>
      <c r="F20" s="16"/>
      <c r="G20" s="53" t="str">
        <f aca="false">IF(B20="","",MOD($C$5-(D20+E20+F20)/1440,1))</f>
        <v/>
      </c>
      <c r="H20" s="9" t="str">
        <f aca="false">IF(OR(B20="",E20=0),"",MOD($C$5-(E20+F20)/1440,1))</f>
        <v/>
      </c>
      <c r="I20" s="54" t="str">
        <f aca="false">IF(OR(B20="",E20=0),"",MOD($C$5-F20/1440,1))</f>
        <v/>
      </c>
      <c r="J20" s="55"/>
      <c r="K20" s="1"/>
      <c r="L20" s="1"/>
      <c r="M20" s="1"/>
      <c r="N20" s="1"/>
      <c r="O20" s="1"/>
    </row>
    <row r="21" customFormat="false" ht="25.5" hidden="false" customHeight="true" outlineLevel="0" collapsed="false">
      <c r="A21" s="1"/>
      <c r="B21" s="11"/>
      <c r="C21" s="16"/>
      <c r="D21" s="16"/>
      <c r="E21" s="20"/>
      <c r="F21" s="16"/>
      <c r="G21" s="53" t="str">
        <f aca="false">IF(B21="","",MOD($C$5-(D21+E21+F21)/1440,1))</f>
        <v/>
      </c>
      <c r="H21" s="9" t="str">
        <f aca="false">IF(OR(B21="",E21=0),"",MOD($C$5-(E21+F21)/1440,1))</f>
        <v/>
      </c>
      <c r="I21" s="54" t="str">
        <f aca="false">IF(OR(B21="",E21=0),"",MOD($C$5-F21/1440,1))</f>
        <v/>
      </c>
      <c r="J21" s="55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4" t="s">
        <v>282</v>
      </c>
      <c r="C23" s="4"/>
      <c r="D23" s="4"/>
      <c r="E23" s="4"/>
      <c r="F23" s="4"/>
      <c r="G23" s="4"/>
      <c r="H23" s="4"/>
      <c r="I23" s="4"/>
      <c r="J23" s="4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5" t="s">
        <v>283</v>
      </c>
      <c r="C24" s="8" t="n">
        <f aca="false">IF(Food!$J$9=0,"No turkey",Setup!$C$7-ROUNDUP(Food!$J$9/4,0))</f>
        <v>46347</v>
      </c>
      <c r="D24" s="8"/>
      <c r="E24" s="8"/>
      <c r="F24" s="38" t="s">
        <v>284</v>
      </c>
      <c r="G24" s="38"/>
      <c r="H24" s="38"/>
      <c r="I24" s="38"/>
      <c r="J24" s="38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5" t="s">
        <v>285</v>
      </c>
      <c r="C25" s="8" t="n">
        <f aca="false">Setup!$C$7-3</f>
        <v>46349</v>
      </c>
      <c r="D25" s="8"/>
      <c r="E25" s="8"/>
      <c r="F25" s="38" t="s">
        <v>286</v>
      </c>
      <c r="G25" s="38"/>
      <c r="H25" s="38"/>
      <c r="I25" s="38"/>
      <c r="J25" s="38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5" t="s">
        <v>287</v>
      </c>
      <c r="C26" s="8" t="n">
        <f aca="false">Setup!$C$7-1</f>
        <v>46351</v>
      </c>
      <c r="D26" s="8"/>
      <c r="E26" s="8"/>
      <c r="F26" s="38"/>
      <c r="G26" s="38"/>
      <c r="H26" s="38"/>
      <c r="I26" s="38"/>
      <c r="J26" s="38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5" t="s">
        <v>288</v>
      </c>
      <c r="C27" s="8" t="n">
        <f aca="false">Setup!$C$7</f>
        <v>46352</v>
      </c>
      <c r="D27" s="8"/>
      <c r="E27" s="8"/>
      <c r="F27" s="38"/>
      <c r="G27" s="38"/>
      <c r="H27" s="38"/>
      <c r="I27" s="38"/>
      <c r="J27" s="38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11">
    <mergeCell ref="B2:J2"/>
    <mergeCell ref="B3:J3"/>
    <mergeCell ref="B23:J23"/>
    <mergeCell ref="C24:E24"/>
    <mergeCell ref="F24:J24"/>
    <mergeCell ref="C25:E25"/>
    <mergeCell ref="F25:J25"/>
    <mergeCell ref="C26:E26"/>
    <mergeCell ref="F26:J26"/>
    <mergeCell ref="C27:E27"/>
    <mergeCell ref="F27:J27"/>
  </mergeCells>
  <dataValidations count="1">
    <dataValidation allowBlank="true" errorStyle="stop" operator="between" showDropDown="false" showErrorMessage="false" showInputMessage="false" sqref="C9:C21" type="list">
      <formula1>"Oven,Stove,Grill,Slow cooker,Microwave,Fridge,Counter"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O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1"/>
      <c r="B2" s="2" t="s">
        <v>289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"/>
      <c r="B3" s="3" t="s">
        <v>290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/>
      <c r="B4" s="1"/>
      <c r="C4" s="56" t="str">
        <f aca="false">COUNTIF(D6:D33,"✓")&amp;" of "&amp;COUNTA(C6:C33)&amp;" tasks done"</f>
        <v>0 of 23 tasks done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0" hidden="false" customHeight="true" outlineLevel="0" collapsed="false">
      <c r="A5" s="1"/>
      <c r="B5" s="26" t="s">
        <v>291</v>
      </c>
      <c r="C5" s="26" t="s">
        <v>292</v>
      </c>
      <c r="D5" s="26" t="s">
        <v>293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/>
      <c r="B6" s="57" t="s">
        <v>294</v>
      </c>
      <c r="C6" s="13" t="s">
        <v>295</v>
      </c>
      <c r="D6" s="16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57"/>
      <c r="C7" s="13" t="s">
        <v>296</v>
      </c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/>
      <c r="B8" s="57"/>
      <c r="C8" s="13" t="s">
        <v>297</v>
      </c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5" hidden="false" customHeight="false" outlineLevel="0" collapsed="false">
      <c r="A9" s="1"/>
      <c r="B9" s="57"/>
      <c r="C9" s="13" t="s">
        <v>298</v>
      </c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57" t="s">
        <v>299</v>
      </c>
      <c r="C10" s="13" t="s">
        <v>300</v>
      </c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57"/>
      <c r="C11" s="13" t="s">
        <v>301</v>
      </c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57"/>
      <c r="C12" s="13" t="s">
        <v>302</v>
      </c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57" t="s">
        <v>303</v>
      </c>
      <c r="C13" s="13" t="s">
        <v>304</v>
      </c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57"/>
      <c r="C14" s="13" t="s">
        <v>305</v>
      </c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57"/>
      <c r="C15" s="13" t="s">
        <v>306</v>
      </c>
      <c r="D15" s="1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57" t="s">
        <v>307</v>
      </c>
      <c r="C16" s="13" t="s">
        <v>308</v>
      </c>
      <c r="D16" s="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57"/>
      <c r="C17" s="13" t="s">
        <v>309</v>
      </c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" hidden="false" customHeight="false" outlineLevel="0" collapsed="false">
      <c r="A18" s="1"/>
      <c r="B18" s="57"/>
      <c r="C18" s="13" t="s">
        <v>310</v>
      </c>
      <c r="D18" s="1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/>
      <c r="B19" s="57" t="s">
        <v>311</v>
      </c>
      <c r="C19" s="13" t="s">
        <v>312</v>
      </c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" hidden="false" customHeight="false" outlineLevel="0" collapsed="false">
      <c r="A20" s="1"/>
      <c r="B20" s="57"/>
      <c r="C20" s="13" t="s">
        <v>313</v>
      </c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" hidden="false" customHeight="false" outlineLevel="0" collapsed="false">
      <c r="A21" s="1"/>
      <c r="B21" s="57"/>
      <c r="C21" s="13" t="s">
        <v>314</v>
      </c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" hidden="false" customHeight="false" outlineLevel="0" collapsed="false">
      <c r="A22" s="1"/>
      <c r="B22" s="57"/>
      <c r="C22" s="13" t="s">
        <v>315</v>
      </c>
      <c r="D22" s="1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" hidden="false" customHeight="false" outlineLevel="0" collapsed="false">
      <c r="A23" s="1"/>
      <c r="B23" s="57" t="s">
        <v>288</v>
      </c>
      <c r="C23" s="13" t="s">
        <v>316</v>
      </c>
      <c r="D23" s="1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57"/>
      <c r="C24" s="13" t="s">
        <v>317</v>
      </c>
      <c r="D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57"/>
      <c r="C25" s="13" t="s">
        <v>318</v>
      </c>
      <c r="D25" s="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" hidden="false" customHeight="false" outlineLevel="0" collapsed="false">
      <c r="A26" s="1"/>
      <c r="B26" s="57"/>
      <c r="C26" s="13" t="s">
        <v>319</v>
      </c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57" t="s">
        <v>320</v>
      </c>
      <c r="C27" s="13" t="s">
        <v>321</v>
      </c>
      <c r="D27" s="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" hidden="false" customHeight="false" outlineLevel="0" collapsed="false">
      <c r="A28" s="1"/>
      <c r="B28" s="57"/>
      <c r="C28" s="13" t="s">
        <v>322</v>
      </c>
      <c r="D28" s="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" hidden="false" customHeight="false" outlineLevel="0" collapsed="false">
      <c r="A29" s="1"/>
      <c r="B29" s="11"/>
      <c r="C29" s="11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" hidden="false" customHeight="false" outlineLevel="0" collapsed="false">
      <c r="A30" s="1"/>
      <c r="B30" s="11"/>
      <c r="C30" s="11"/>
      <c r="D30" s="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1"/>
      <c r="C31" s="11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1"/>
      <c r="C32" s="11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1"/>
      <c r="C33" s="11"/>
      <c r="D33" s="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</sheetData>
  <mergeCells count="2">
    <mergeCell ref="B2:D2"/>
    <mergeCell ref="B3:D3"/>
  </mergeCells>
  <conditionalFormatting sqref="C6:D33">
    <cfRule type="expression" priority="2" aboveAverage="0" equalAverage="0" bottom="0" percent="0" rank="0" text="" dxfId="4">
      <formula>$D6="✓"</formula>
    </cfRule>
  </conditionalFormatting>
  <dataValidations count="1">
    <dataValidation allowBlank="true" errorStyle="stop" operator="between" showDropDown="false" showErrorMessage="false" showInputMessage="false" sqref="D6:D33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2026-09-29T14:53:56Z</dcterms:created>
  <dc:creator>openpyxl</dc:creator>
  <dc:description/>
  <dc:language>en-US</dc:language>
  <cp:lastModifiedBy/>
  <dcterms:modified xsi:type="dcterms:W3CDTF">2026-09-29T14:53:57Z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